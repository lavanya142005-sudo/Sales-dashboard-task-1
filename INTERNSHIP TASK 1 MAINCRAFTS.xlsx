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 activeTab="1"/>
  </bookViews>
  <sheets>
    <sheet name="Sheet1" sheetId="1" r:id="rId1"/>
    <sheet name="Sheet2" sheetId="2" r:id="rId2"/>
    <sheet name="Sheet3" sheetId="3" r:id="rId3"/>
  </sheets>
  <calcPr calcId="144525"/>
  <pivotCaches>
    <pivotCache cacheId="21" r:id="rId4"/>
  </pivotCaches>
</workbook>
</file>

<file path=xl/calcChain.xml><?xml version="1.0" encoding="utf-8"?>
<calcChain xmlns="http://schemas.openxmlformats.org/spreadsheetml/2006/main">
  <c r="E258" i="1" l="1"/>
  <c r="H71" i="1"/>
  <c r="H128" i="1"/>
  <c r="H107" i="1"/>
  <c r="H164" i="1"/>
  <c r="H87" i="1"/>
  <c r="H174" i="1"/>
  <c r="H97" i="1"/>
  <c r="H233" i="1"/>
  <c r="H204" i="1"/>
  <c r="H56" i="1"/>
  <c r="H102" i="1"/>
  <c r="H139" i="1"/>
  <c r="H213" i="1"/>
  <c r="H169" i="1"/>
  <c r="H132" i="1"/>
  <c r="H217" i="1"/>
  <c r="H170" i="1"/>
  <c r="H157" i="1"/>
  <c r="H193" i="1"/>
  <c r="H85" i="1"/>
  <c r="H154" i="1"/>
  <c r="H181" i="1"/>
  <c r="H222" i="1"/>
  <c r="H122" i="1"/>
  <c r="H234" i="1"/>
  <c r="H175" i="1"/>
  <c r="H48" i="1"/>
  <c r="H158" i="1"/>
  <c r="H198" i="1"/>
  <c r="H173" i="1"/>
  <c r="H223" i="1"/>
  <c r="H147" i="1"/>
  <c r="H212" i="1"/>
  <c r="H137" i="1"/>
  <c r="H201" i="1"/>
  <c r="H58" i="1"/>
  <c r="H214" i="1"/>
  <c r="H18" i="1"/>
  <c r="H241" i="1"/>
  <c r="H61" i="1"/>
  <c r="H89" i="1"/>
  <c r="H194" i="1"/>
  <c r="H105" i="1"/>
  <c r="H30" i="1"/>
  <c r="H243" i="1"/>
  <c r="H150" i="1"/>
  <c r="H10" i="1"/>
  <c r="H200" i="1"/>
  <c r="H155" i="1"/>
  <c r="H156" i="1"/>
  <c r="H219" i="1"/>
  <c r="H253" i="1"/>
  <c r="H244" i="1"/>
  <c r="H106" i="1"/>
  <c r="H183" i="1"/>
  <c r="H209" i="1"/>
  <c r="H121" i="1"/>
  <c r="H5" i="1"/>
  <c r="H148" i="1"/>
  <c r="H118" i="1"/>
  <c r="H37" i="1"/>
  <c r="H53" i="1"/>
  <c r="H195" i="1"/>
  <c r="H206" i="1"/>
  <c r="H228" i="1"/>
  <c r="H245" i="1"/>
  <c r="H126" i="1"/>
  <c r="H38" i="1"/>
  <c r="H199" i="1"/>
  <c r="H3" i="1"/>
  <c r="H24" i="1"/>
  <c r="H20" i="1"/>
  <c r="H145" i="1"/>
  <c r="H254" i="1"/>
  <c r="H227" i="1"/>
  <c r="H135" i="1"/>
  <c r="H114" i="1"/>
  <c r="H188" i="1"/>
  <c r="H6" i="1"/>
  <c r="H226" i="1"/>
  <c r="H46" i="1"/>
  <c r="H80" i="1"/>
  <c r="H65" i="1"/>
  <c r="H33" i="1"/>
  <c r="H189" i="1"/>
  <c r="H184" i="1"/>
  <c r="H197" i="1"/>
  <c r="H66" i="1"/>
  <c r="H140" i="1"/>
  <c r="H149" i="1"/>
  <c r="H255" i="1"/>
  <c r="H67" i="1"/>
  <c r="H143" i="1"/>
  <c r="H115" i="1"/>
  <c r="H43" i="1"/>
  <c r="H185" i="1"/>
  <c r="H98" i="1"/>
  <c r="H196" i="1"/>
  <c r="H240" i="1"/>
  <c r="H40" i="1"/>
  <c r="H153" i="1"/>
  <c r="H151" i="1"/>
  <c r="H60" i="1"/>
  <c r="H187" i="1"/>
  <c r="H22" i="1"/>
  <c r="H133" i="1"/>
  <c r="H90" i="1"/>
  <c r="H88" i="1"/>
  <c r="H44" i="1"/>
  <c r="H50" i="1"/>
  <c r="H167" i="1"/>
  <c r="H32" i="1"/>
  <c r="H163" i="1"/>
  <c r="H236" i="1"/>
  <c r="H242" i="1"/>
  <c r="H83" i="1"/>
  <c r="H104" i="1"/>
  <c r="H210" i="1"/>
  <c r="H91" i="1"/>
  <c r="H17" i="1"/>
  <c r="H161" i="1"/>
  <c r="H229" i="1"/>
  <c r="H176" i="1"/>
  <c r="H25" i="1"/>
  <c r="H81" i="1"/>
  <c r="H116" i="1"/>
  <c r="H230" i="1"/>
  <c r="H112" i="1"/>
  <c r="H202" i="1"/>
  <c r="H76" i="1"/>
  <c r="H108" i="1"/>
  <c r="H16" i="1"/>
  <c r="H34" i="1"/>
  <c r="H94" i="1"/>
  <c r="H237" i="1"/>
  <c r="H54" i="1"/>
  <c r="H73" i="1"/>
  <c r="H79" i="1"/>
  <c r="H57" i="1"/>
  <c r="H190" i="1"/>
  <c r="H92" i="1"/>
  <c r="H251" i="1"/>
  <c r="H2" i="1"/>
  <c r="H77" i="1"/>
  <c r="H28" i="1"/>
  <c r="H11" i="1"/>
  <c r="H75" i="1"/>
  <c r="H123" i="1"/>
  <c r="H12" i="1"/>
  <c r="H19" i="1"/>
  <c r="H95" i="1"/>
  <c r="H41" i="1"/>
  <c r="H39" i="1"/>
  <c r="H124" i="1"/>
  <c r="H51" i="1"/>
  <c r="H177" i="1"/>
  <c r="H23" i="1"/>
  <c r="H74" i="1"/>
  <c r="H125" i="1"/>
  <c r="H256" i="1"/>
  <c r="H144" i="1"/>
  <c r="H119" i="1"/>
  <c r="H231" i="1"/>
  <c r="H82" i="1"/>
  <c r="H8" i="1"/>
  <c r="H9" i="1"/>
  <c r="H152" i="1"/>
  <c r="H129" i="1"/>
  <c r="H168" i="1"/>
  <c r="H165" i="1"/>
  <c r="H70" i="1"/>
  <c r="H26" i="1"/>
  <c r="H141" i="1"/>
  <c r="H211" i="1"/>
  <c r="H232" i="1"/>
  <c r="H142" i="1"/>
  <c r="H220" i="1"/>
  <c r="H7" i="1"/>
  <c r="H218" i="1"/>
  <c r="H96" i="1"/>
  <c r="H86" i="1"/>
  <c r="H36" i="1"/>
  <c r="H31" i="1"/>
  <c r="H207" i="1"/>
  <c r="H127" i="1"/>
  <c r="H203" i="1"/>
  <c r="H191" i="1"/>
  <c r="H221" i="1"/>
  <c r="H42" i="1"/>
  <c r="H62" i="1"/>
  <c r="H247" i="1"/>
  <c r="H111" i="1"/>
  <c r="H159" i="1"/>
  <c r="H257" i="1"/>
  <c r="H235" i="1"/>
  <c r="H93" i="1"/>
  <c r="H64" i="1"/>
  <c r="H45" i="1"/>
  <c r="H15" i="1"/>
  <c r="H246" i="1"/>
  <c r="H113" i="1"/>
  <c r="H215" i="1"/>
  <c r="H21" i="1"/>
  <c r="H252" i="1"/>
  <c r="H29" i="1"/>
  <c r="H136" i="1"/>
  <c r="H59" i="1"/>
  <c r="H110" i="1"/>
  <c r="H182" i="1"/>
  <c r="H103" i="1"/>
  <c r="H216" i="1"/>
  <c r="H130" i="1"/>
  <c r="H52" i="1"/>
  <c r="H131" i="1"/>
  <c r="H160" i="1"/>
  <c r="H239" i="1"/>
  <c r="H192" i="1"/>
  <c r="H78" i="1"/>
  <c r="H186" i="1"/>
  <c r="H134" i="1"/>
  <c r="H120" i="1"/>
  <c r="H63" i="1"/>
  <c r="H99" i="1"/>
  <c r="H180" i="1"/>
  <c r="H146" i="1"/>
  <c r="H117" i="1"/>
  <c r="H47" i="1"/>
  <c r="H172" i="1"/>
  <c r="H208" i="1"/>
  <c r="H238" i="1"/>
  <c r="H138" i="1"/>
  <c r="H68" i="1"/>
  <c r="H55" i="1"/>
  <c r="H178" i="1"/>
  <c r="H162" i="1"/>
  <c r="H171" i="1"/>
  <c r="H248" i="1"/>
  <c r="H166" i="1"/>
  <c r="H13" i="1"/>
  <c r="H35" i="1"/>
  <c r="H69" i="1"/>
  <c r="H225" i="1"/>
  <c r="H109" i="1"/>
  <c r="H179" i="1"/>
  <c r="H205" i="1"/>
  <c r="H100" i="1"/>
  <c r="H72" i="1"/>
  <c r="H4" i="1"/>
  <c r="H101" i="1"/>
  <c r="H224" i="1"/>
  <c r="H84" i="1"/>
  <c r="H27" i="1"/>
  <c r="H249" i="1"/>
  <c r="H49" i="1"/>
  <c r="H14" i="1"/>
  <c r="H250" i="1"/>
</calcChain>
</file>

<file path=xl/sharedStrings.xml><?xml version="1.0" encoding="utf-8"?>
<sst xmlns="http://schemas.openxmlformats.org/spreadsheetml/2006/main" count="811" uniqueCount="293">
  <si>
    <t>Order ID</t>
  </si>
  <si>
    <t>Order Date</t>
  </si>
  <si>
    <t>Region</t>
  </si>
  <si>
    <t>Product Category</t>
  </si>
  <si>
    <t>Sales Amount</t>
  </si>
  <si>
    <t>Profit</t>
  </si>
  <si>
    <t>Quantity</t>
  </si>
  <si>
    <t>ORD10001</t>
  </si>
  <si>
    <t>North</t>
  </si>
  <si>
    <t>Electronics</t>
  </si>
  <si>
    <t>Clothing</t>
  </si>
  <si>
    <t>Central</t>
  </si>
  <si>
    <t>Food</t>
  </si>
  <si>
    <t>ORD10004</t>
  </si>
  <si>
    <t>Office Supplies</t>
  </si>
  <si>
    <t>ORD10005</t>
  </si>
  <si>
    <t>South</t>
  </si>
  <si>
    <t>Furniture</t>
  </si>
  <si>
    <t>ORD10007</t>
  </si>
  <si>
    <t>East</t>
  </si>
  <si>
    <t>ORD10008</t>
  </si>
  <si>
    <t>ORD10009</t>
  </si>
  <si>
    <t>West</t>
  </si>
  <si>
    <t>ORD10011</t>
  </si>
  <si>
    <t>ORD10013</t>
  </si>
  <si>
    <t>ORD10016</t>
  </si>
  <si>
    <t>ORD10018</t>
  </si>
  <si>
    <t>ORD10019</t>
  </si>
  <si>
    <t>ORD10022</t>
  </si>
  <si>
    <t>ORD10023</t>
  </si>
  <si>
    <t>ORD10024</t>
  </si>
  <si>
    <t>ORD10025</t>
  </si>
  <si>
    <t>ORD10026</t>
  </si>
  <si>
    <t>ORD10028</t>
  </si>
  <si>
    <t>ORD10029</t>
  </si>
  <si>
    <t>ORD10031</t>
  </si>
  <si>
    <t>ORD10032</t>
  </si>
  <si>
    <t>ORD10033</t>
  </si>
  <si>
    <t>ORD10034</t>
  </si>
  <si>
    <t>ORD10037</t>
  </si>
  <si>
    <t>ORD10038</t>
  </si>
  <si>
    <t>ORD10044</t>
  </si>
  <si>
    <t>ORD10048</t>
  </si>
  <si>
    <t>ORD10052</t>
  </si>
  <si>
    <t>ORD10053</t>
  </si>
  <si>
    <t>ORD10054</t>
  </si>
  <si>
    <t>ORD10059</t>
  </si>
  <si>
    <t>ORD10060</t>
  </si>
  <si>
    <t>ORD10062</t>
  </si>
  <si>
    <t>ORD10065</t>
  </si>
  <si>
    <t>ORD10066</t>
  </si>
  <si>
    <t>ORD10067</t>
  </si>
  <si>
    <t>ORD10068</t>
  </si>
  <si>
    <t>ORD10070</t>
  </si>
  <si>
    <t>ORD10071</t>
  </si>
  <si>
    <t>ORD10072</t>
  </si>
  <si>
    <t>ORD10073</t>
  </si>
  <si>
    <t>ORD10074</t>
  </si>
  <si>
    <t>ORD10075</t>
  </si>
  <si>
    <t>ORD10077</t>
  </si>
  <si>
    <t>ORD10078</t>
  </si>
  <si>
    <t>ORD10080</t>
  </si>
  <si>
    <t>ORD10083</t>
  </si>
  <si>
    <t>ORD10084</t>
  </si>
  <si>
    <t>ORD10087</t>
  </si>
  <si>
    <t>ORD10088</t>
  </si>
  <si>
    <t>ORD10090</t>
  </si>
  <si>
    <t>ORD10093</t>
  </si>
  <si>
    <t>ORD10101</t>
  </si>
  <si>
    <t>ORD10103</t>
  </si>
  <si>
    <t>ORD10105</t>
  </si>
  <si>
    <t>ORD10109</t>
  </si>
  <si>
    <t>ORD10112</t>
  </si>
  <si>
    <t>ORD10114</t>
  </si>
  <si>
    <t>ORD10116</t>
  </si>
  <si>
    <t>ORD10117</t>
  </si>
  <si>
    <t>ORD10119</t>
  </si>
  <si>
    <t>ORD10122</t>
  </si>
  <si>
    <t>ORD10126</t>
  </si>
  <si>
    <t>ORD10127</t>
  </si>
  <si>
    <t>ORD10130</t>
  </si>
  <si>
    <t>ORD10131</t>
  </si>
  <si>
    <t>ORD10133</t>
  </si>
  <si>
    <t>ORD10135</t>
  </si>
  <si>
    <t>ORD10136</t>
  </si>
  <si>
    <t>ORD10138</t>
  </si>
  <si>
    <t>ORD10141</t>
  </si>
  <si>
    <t>ORD10142</t>
  </si>
  <si>
    <t>ORD10144</t>
  </si>
  <si>
    <t>ORD10146</t>
  </si>
  <si>
    <t>ORD10147</t>
  </si>
  <si>
    <t>ORD10148</t>
  </si>
  <si>
    <t>ORD10150</t>
  </si>
  <si>
    <t>ORD10151</t>
  </si>
  <si>
    <t>ORD10152</t>
  </si>
  <si>
    <t>ORD10153</t>
  </si>
  <si>
    <t>ORD10154</t>
  </si>
  <si>
    <t>ORD10155</t>
  </si>
  <si>
    <t>ORD10157</t>
  </si>
  <si>
    <t>ORD10158</t>
  </si>
  <si>
    <t>ORD10159</t>
  </si>
  <si>
    <t>ORD10160</t>
  </si>
  <si>
    <t>ORD10166</t>
  </si>
  <si>
    <t>ORD10167</t>
  </si>
  <si>
    <t>ORD10168</t>
  </si>
  <si>
    <t>ORD10169</t>
  </si>
  <si>
    <t>ORD10170</t>
  </si>
  <si>
    <t>ORD10171</t>
  </si>
  <si>
    <t>ORD10177</t>
  </si>
  <si>
    <t>ORD10178</t>
  </si>
  <si>
    <t>ORD10179</t>
  </si>
  <si>
    <t>ORD10181</t>
  </si>
  <si>
    <t>ORD10182</t>
  </si>
  <si>
    <t>ORD10184</t>
  </si>
  <si>
    <t>ORD10187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</si>
  <si>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</si>
  <si>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</si>
  <si>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</si>
  <si>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</si>
  <si>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</si>
  <si>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</si>
  <si>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</si>
  <si>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</si>
  <si>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ORD10204</t>
  </si>
  <si>
    <t>ORD10205</t>
  </si>
  <si>
    <t>ORD10213</t>
  </si>
  <si>
    <t>ORD10214</t>
  </si>
  <si>
    <t>ORD10215</t>
  </si>
  <si>
    <t>ORD10217</t>
  </si>
  <si>
    <t>ORD10218</t>
  </si>
  <si>
    <t>ORD10221</t>
  </si>
  <si>
    <t>ORD10225</t>
  </si>
  <si>
    <t>ORD10226</t>
  </si>
  <si>
    <t>ORD10231</t>
  </si>
  <si>
    <t>ORD10232</t>
  </si>
  <si>
    <t>ORD10233</t>
  </si>
  <si>
    <t>ORD10237</t>
  </si>
  <si>
    <t>ORD10238</t>
  </si>
  <si>
    <t>ORD10239</t>
  </si>
  <si>
    <t>ORD10240</t>
  </si>
  <si>
    <t>ORD10242</t>
  </si>
  <si>
    <t>ORD10246</t>
  </si>
  <si>
    <t>ORD10251</t>
  </si>
  <si>
    <t>ORD10252</t>
  </si>
  <si>
    <t>ORD10254</t>
  </si>
  <si>
    <t>ORD10255</t>
  </si>
  <si>
    <t>ORD10256</t>
  </si>
  <si>
    <t>ORD10257</t>
  </si>
  <si>
    <t>ORD10262</t>
  </si>
  <si>
    <t>ORD10263</t>
  </si>
  <si>
    <t>ORD10264</t>
  </si>
  <si>
    <t>ORD10269</t>
  </si>
  <si>
    <t>ORD10270</t>
  </si>
  <si>
    <t>ORD10272</t>
  </si>
  <si>
    <t>ORD10273</t>
  </si>
  <si>
    <t>ORD10276</t>
  </si>
  <si>
    <t>ORD10280</t>
  </si>
  <si>
    <t>ORD10281</t>
  </si>
  <si>
    <t>ORD10284</t>
  </si>
  <si>
    <t>ORD10285</t>
  </si>
  <si>
    <t>ORD10287</t>
  </si>
  <si>
    <t>ORD10289</t>
  </si>
  <si>
    <t>ORD10292</t>
  </si>
  <si>
    <t>ORD10293</t>
  </si>
  <si>
    <t>ORD10295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</si>
  <si>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</si>
  <si>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</si>
  <si>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</si>
  <si>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</si>
  <si>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</si>
  <si>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</si>
  <si>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</si>
  <si>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</si>
  <si>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ORD10306</t>
  </si>
  <si>
    <t>ORD10307</t>
  </si>
  <si>
    <t>ORD10308</t>
  </si>
  <si>
    <t>ORD10309</t>
  </si>
  <si>
    <t>ORD10311</t>
  </si>
  <si>
    <t>ORD10313</t>
  </si>
  <si>
    <t>ORD10315</t>
  </si>
  <si>
    <t>ORD10316</t>
  </si>
  <si>
    <t>ORD10320</t>
  </si>
  <si>
    <t>ORD10323</t>
  </si>
  <si>
    <t>ORD10324</t>
  </si>
  <si>
    <t>ORD10326</t>
  </si>
  <si>
    <t>ORD10328</t>
  </si>
  <si>
    <t>ORD10332</t>
  </si>
  <si>
    <t>ORD10334</t>
  </si>
  <si>
    <t>ORD10336</t>
  </si>
  <si>
    <t>ORD10337</t>
  </si>
  <si>
    <t>ORD10338</t>
  </si>
  <si>
    <t>ORD10341</t>
  </si>
  <si>
    <t>ORD10343</t>
  </si>
  <si>
    <t>ORD10344</t>
  </si>
  <si>
    <t>ORD10346</t>
  </si>
  <si>
    <t>ORD10349</t>
  </si>
  <si>
    <t>ORD10350</t>
  </si>
  <si>
    <t>ORD10353</t>
  </si>
  <si>
    <t>ORD10355</t>
  </si>
  <si>
    <t>ORD10356</t>
  </si>
  <si>
    <t>ORD10357</t>
  </si>
  <si>
    <t>ORD10359</t>
  </si>
  <si>
    <t>ORD10360</t>
  </si>
  <si>
    <t>ORD10362</t>
  </si>
  <si>
    <t>ORD10363</t>
  </si>
  <si>
    <t>ORD10365</t>
  </si>
  <si>
    <t>ORD10366</t>
  </si>
  <si>
    <t>ORD10367</t>
  </si>
  <si>
    <t>ORD10370</t>
  </si>
  <si>
    <t>ORD10371</t>
  </si>
  <si>
    <t>ORD10373</t>
  </si>
  <si>
    <t>ORD10374</t>
  </si>
  <si>
    <t>ORD10381</t>
  </si>
  <si>
    <t>ORD10382</t>
  </si>
  <si>
    <t>ORD10383</t>
  </si>
  <si>
    <t>ORD10387</t>
  </si>
  <si>
    <t>ORD10394</t>
  </si>
  <si>
    <t>ORD10395</t>
  </si>
  <si>
    <t>ORD10396</t>
  </si>
  <si>
    <t>ORD10400</t>
  </si>
  <si>
    <t>ORD10401</t>
  </si>
  <si>
    <t>ORD10403</t>
  </si>
  <si>
    <t>ORD10404</t>
  </si>
  <si>
    <t>ORD10405</t>
  </si>
  <si>
    <t>ORD10407</t>
  </si>
  <si>
    <t>ORD10408</t>
  </si>
  <si>
    <t>ORD10410</t>
  </si>
  <si>
    <t>ORD10412</t>
  </si>
  <si>
    <t>ORD10413</t>
  </si>
  <si>
    <t>ORD10416</t>
  </si>
  <si>
    <t>ORD10418</t>
  </si>
  <si>
    <t>ORD10420</t>
  </si>
  <si>
    <t>ORD10421</t>
  </si>
  <si>
    <t>ORD10423</t>
  </si>
  <si>
    <t>ORD10425</t>
  </si>
  <si>
    <t>ORD10428</t>
  </si>
  <si>
    <t>ORD10429</t>
  </si>
  <si>
    <t>ORD10430</t>
  </si>
  <si>
    <t>ORD10433</t>
  </si>
  <si>
    <t>ORD10440</t>
  </si>
  <si>
    <t>ORD10441</t>
  </si>
  <si>
    <t>ORD10442</t>
  </si>
  <si>
    <t>ORD10443</t>
  </si>
  <si>
    <t>ORD10444</t>
  </si>
  <si>
    <t>ORD10449</t>
  </si>
  <si>
    <t>ORD10453</t>
  </si>
  <si>
    <t>ORD10456</t>
  </si>
  <si>
    <t>ORD10457</t>
  </si>
  <si>
    <t>ORD10458</t>
  </si>
  <si>
    <t>ORD10459</t>
  </si>
  <si>
    <t>ORD10464</t>
  </si>
  <si>
    <t>ORD10465</t>
  </si>
  <si>
    <t>ORD10466</t>
  </si>
  <si>
    <t>ORD10467</t>
  </si>
  <si>
    <t>ORD10469</t>
  </si>
  <si>
    <t>ORD10471</t>
  </si>
  <si>
    <t>ORD10472</t>
  </si>
  <si>
    <t>ORD10477</t>
  </si>
  <si>
    <t>ORD10479</t>
  </si>
  <si>
    <t>ORD10480</t>
  </si>
  <si>
    <t>ORD10482</t>
  </si>
  <si>
    <t>ORD10483</t>
  </si>
  <si>
    <t>ORD10485</t>
  </si>
  <si>
    <t>ORD10487</t>
  </si>
  <si>
    <t>ORD10488</t>
  </si>
  <si>
    <t>ORD10489</t>
  </si>
  <si>
    <t>ORD10490</t>
  </si>
  <si>
    <t>ORD10493</t>
  </si>
  <si>
    <t>ORD10494</t>
  </si>
  <si>
    <t>ORD10496</t>
  </si>
  <si>
    <t>ORD10497</t>
  </si>
  <si>
    <t>ORD10499</t>
  </si>
  <si>
    <t>ORD10500</t>
  </si>
  <si>
    <t>TOTAL SALES</t>
  </si>
  <si>
    <t>PROFIT MARGIN</t>
  </si>
  <si>
    <t>Row Labels</t>
  </si>
  <si>
    <t>Grand Total</t>
  </si>
  <si>
    <t>Sum of Sales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</si>
  <si>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</si>
  <si>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</si>
  <si>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</si>
  <si>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</si>
  <si>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</si>
  <si>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</si>
  <si>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</si>
  <si>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</si>
  <si>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</si>
  <si>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</si>
  <si>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</si>
  <si>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</si>
  <si>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REGION</t>
  </si>
  <si>
    <t>SALES BY PRODUCT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</si>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</sst>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84.64395578704" createdVersion="4" refreshedVersion="4" minRefreshableVersion="3" recordCount="256">
  <cacheSource type="worksheet">
    <worksheetSource ref="A1:H257" sheet="Sheet1"/>
  </cacheSource>
  <cacheFields count="8">
    <cacheField name="Order ID" numFmtId="0">
      <sharedItems/>
    </cacheField>
    <cacheField name="Order Date" numFmtId="165">
      <sharedItems containsSemiMixedTypes="0" containsNonDate="0" containsDate="1" containsString="0" minDate="2024-01-01T00:00:00" maxDate="2025-01-01T00:00:00" count="181">
        <d v="2024-01-01T00:00:00"/>
        <d v="2024-01-04T00:00:00"/>
        <d v="2024-01-05T00:00:00"/>
        <d v="2024-01-06T00:00:00"/>
        <d v="2024-01-07T00:00:00"/>
        <d v="2024-01-11T00:00:00"/>
        <d v="2024-01-13T00:00:00"/>
        <d v="2024-01-15T00:00:00"/>
        <d v="2024-01-20T00:00:00"/>
        <d v="2024-01-21T00:00:00"/>
        <d v="2024-01-23T00:00:00"/>
        <d v="2024-01-26T00:00:00"/>
        <d v="2024-01-28T00:00:00"/>
        <d v="2024-01-29T00:00:00"/>
        <d v="2024-02-03T00:00:00"/>
        <d v="2024-02-04T00:00:00"/>
        <d v="2024-02-05T00:00:00"/>
        <d v="2024-02-06T00:00:00"/>
        <d v="2024-02-07T00:00:00"/>
        <d v="2024-02-09T00:00:00"/>
        <d v="2024-02-10T00:00:00"/>
        <d v="2024-02-12T00:00:00"/>
        <d v="2024-02-13T00:00:00"/>
        <d v="2024-02-17T00:00:00"/>
        <d v="2024-02-18T00:00:00"/>
        <d v="2024-02-21T00:00:00"/>
        <d v="2024-02-22T00:00:00"/>
        <d v="2024-02-24T00:00:00"/>
        <d v="2024-02-26T00:00:00"/>
        <d v="2024-02-27T00:00:00"/>
        <d v="2024-03-03T00:00:00"/>
        <d v="2024-03-05T00:00:00"/>
        <d v="2024-03-07T00:00:00"/>
        <d v="2024-03-09T00:00:00"/>
        <d v="2024-03-10T00:00:00"/>
        <d v="2024-03-11T00:00:00"/>
        <d v="2024-03-12T00:00:00"/>
        <d v="2024-03-13T00:00:00"/>
        <d v="2024-03-15T00:00:00"/>
        <d v="2024-03-16T00:00:00"/>
        <d v="2024-03-17T00:00:00"/>
        <d v="2024-03-19T00:00:00"/>
        <d v="2024-03-20T00:00:00"/>
        <d v="2024-03-24T00:00:00"/>
        <d v="2024-03-25T00:00:00"/>
        <d v="2024-03-29T00:00:00"/>
        <d v="2024-03-30T00:00:00"/>
        <d v="2024-03-31T00:00:00"/>
        <d v="2024-04-02T00:00:00"/>
        <d v="2024-04-07T00:00:00"/>
        <d v="2024-04-09T00:00:00"/>
        <d v="2024-04-10T00:00:00"/>
        <d v="2024-04-13T00:00:00"/>
        <d v="2024-04-16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9T00:00:00"/>
        <d v="2024-05-03T00:00:00"/>
        <d v="2024-05-04T00:00:00"/>
        <d v="2024-05-09T00:00:00"/>
        <d v="2024-05-11T00:00:00"/>
        <d v="2024-05-18T00:00:00"/>
        <d v="2024-05-19T00:00:00"/>
        <d v="2024-05-20T00:00:00"/>
        <d v="2024-05-21T00:00:00"/>
        <d v="2024-05-24T00:00:00"/>
        <d v="2024-05-25T00:00:00"/>
        <d v="2024-05-27T00:00:00"/>
        <d v="2024-05-28T00:00:00"/>
        <d v="2024-06-07T00:00:00"/>
        <d v="2024-06-08T00:00:00"/>
        <d v="2024-06-10T00:00:00"/>
        <d v="2024-06-14T00:00:00"/>
        <d v="2024-06-16T00:00:00"/>
        <d v="2024-06-18T00:00:00"/>
        <d v="2024-06-19T00:00:00"/>
        <d v="2024-06-20T00:00:00"/>
        <d v="2024-06-23T00:00:00"/>
        <d v="2024-06-25T00:00:00"/>
        <d v="2024-06-26T00:00:00"/>
        <d v="2024-06-28T00:00:00"/>
        <d v="2024-06-30T00:00:00"/>
        <d v="2024-07-02T00:00:00"/>
        <d v="2024-07-06T00:00:00"/>
        <d v="2024-07-08T00:00:00"/>
        <d v="2024-07-10T00:00:00"/>
        <d v="2024-07-11T00:00:00"/>
        <d v="2024-07-12T00:00:00"/>
        <d v="2024-07-14T00:00:00"/>
        <d v="2024-07-17T00:00:00"/>
        <d v="2024-07-18T00:00:00"/>
        <d v="2024-07-19T00:00:00"/>
        <d v="2024-07-21T00:00:00"/>
        <d v="2024-07-22T00:00:00"/>
        <d v="2024-07-25T00:00:00"/>
        <d v="2024-07-26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7T00:00:00"/>
        <d v="2024-08-08T00:00:00"/>
        <d v="2024-08-09T00:00:00"/>
        <d v="2024-08-10T00:00:00"/>
        <d v="2024-08-11T00:00:00"/>
        <d v="2024-08-12T00:00:00"/>
        <d v="2024-08-15T00:00:00"/>
        <d v="2024-08-18T00:00:00"/>
        <d v="2024-08-21T00:00:00"/>
        <d v="2024-08-22T00:00:00"/>
        <d v="2024-08-23T00:00:00"/>
        <d v="2024-08-27T00:00:00"/>
        <d v="2024-08-28T00:00:00"/>
        <d v="2024-08-29T00:00:00"/>
        <d v="2024-09-01T00:00:00"/>
        <d v="2024-09-03T00:00:00"/>
        <d v="2024-09-05T00:00:00"/>
        <d v="2024-09-06T00:00:00"/>
        <d v="2024-09-07T00:00:00"/>
        <d v="2024-09-08T00:00:00"/>
        <d v="2024-09-09T00:00:00"/>
        <d v="2024-09-12T00:00:00"/>
        <d v="2024-09-14T00:00:00"/>
        <d v="2024-09-15T00:00:00"/>
        <d v="2024-09-16T00:00:00"/>
        <d v="2024-09-17T00:00:00"/>
        <d v="2024-09-19T00:00:00"/>
        <d v="2024-09-20T00:00:00"/>
        <d v="2024-09-21T00:00:00"/>
        <d v="2024-09-22T00:00:00"/>
        <d v="2024-09-23T00:00:00"/>
        <d v="2024-09-25T00:00:00"/>
        <d v="2024-09-26T00:00:00"/>
        <d v="2024-09-27T00:00:00"/>
        <d v="2024-09-30T00:00:00"/>
        <d v="2024-10-03T00:00:00"/>
        <d v="2024-10-04T00:00:00"/>
        <d v="2024-10-06T00:00:00"/>
        <d v="2024-10-07T00:00:00"/>
        <d v="2024-10-09T00:00:00"/>
        <d v="2024-10-12T00:00:00"/>
        <d v="2024-10-13T00:00:00"/>
        <d v="2024-10-17T00:00:00"/>
        <d v="2024-10-18T00:00:00"/>
        <d v="2024-10-19T00:00:00"/>
        <d v="2024-10-22T00:00:00"/>
        <d v="2024-10-23T00:00:00"/>
        <d v="2024-10-26T00:00:00"/>
        <d v="2024-10-30T00:00:00"/>
        <d v="2024-11-06T00:00:00"/>
        <d v="2024-11-08T00:00:00"/>
        <d v="2024-11-10T00:00:00"/>
        <d v="2024-11-14T00:00:00"/>
        <d v="2024-11-17T00:00:00"/>
        <d v="2024-11-19T00:00:00"/>
        <d v="2024-11-21T00:00:00"/>
        <d v="2024-11-23T00:00:00"/>
        <d v="2024-11-25T00:00:00"/>
        <d v="2024-11-26T00:00:00"/>
        <d v="2024-11-28T00:00:00"/>
        <d v="2024-11-29T00:00:00"/>
        <d v="2024-11-30T00:00:00"/>
        <d v="2024-12-03T00:00:00"/>
        <d v="2024-12-07T00:00:00"/>
        <d v="2024-12-08T00:00:00"/>
        <d v="2024-12-10T00:00:00"/>
        <d v="2024-12-12T00:00:00"/>
        <d v="2024-12-22T00:00:00"/>
        <d v="2024-12-23T00:00:00"/>
        <d v="2024-12-27T00:00:00"/>
        <d v="2024-12-29T00:00:00"/>
        <d v="2024-12-30T00:00:00"/>
        <d v="2024-12-31T00:00:00"/>
      </sharedItems>
      <fieldGroup base="1">
        <rangePr groupBy="months" startDate="2024-01-01T00:00:00" endDate="2025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Region" numFmtId="0">
      <sharedItems count="5">
        <s v="South"/>
        <s v="North"/>
        <s v="Central"/>
        <s v="West"/>
        <s v="East"/>
      </sharedItems>
    </cacheField>
    <cacheField name="Product Category" numFmtId="0">
      <sharedItems count="5">
        <s v="Clothing"/>
        <s v="Electronics"/>
        <s v="Office Supplies"/>
        <s v="Food"/>
        <s v="Furniture"/>
      </sharedItems>
    </cacheField>
    <cacheField name="Sales Amount" numFmtId="0">
      <sharedItems containsSemiMixedTypes="0" containsString="0" containsNumber="1" minValue="141.88999999999999" maxValue="4989.7700000000004"/>
    </cacheField>
    <cacheField name="Profit" numFmtId="0">
      <sharedItems containsSemiMixedTypes="0" containsString="0" containsNumber="1" minValue="-196.62" maxValue="1668.62"/>
    </cacheField>
    <cacheField name="Quantity" numFmtId="0">
      <sharedItems containsSemiMixedTypes="0" containsString="0" containsNumber="1" containsInteger="1" minValue="1" maxValue="20"/>
    </cacheField>
    <cacheField name="PROFIT MARGIN" numFmtId="0">
      <sharedItems containsSemiMixedTypes="0" containsString="0" containsNumber="1" minValue="-4.9279206294598765" maxValue="34.734220205464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6">
  <r>
    <s v="ORD10287"/>
    <x v="0"/>
    <x v="0"/>
    <x v="0"/>
    <n v="436.51"/>
    <n v="69.180000000000007"/>
    <n v="5"/>
    <n v="15.848434171038466"/>
  </r>
  <r>
    <s v="ORD10142"/>
    <x v="1"/>
    <x v="1"/>
    <x v="1"/>
    <n v="387.96"/>
    <n v="1.64"/>
    <n v="7"/>
    <n v="0.42272399216414064"/>
  </r>
  <r>
    <s v="ORD10489"/>
    <x v="1"/>
    <x v="0"/>
    <x v="2"/>
    <n v="938.11"/>
    <n v="304.69"/>
    <n v="3"/>
    <n v="32.479133577085847"/>
  </r>
  <r>
    <s v="ORD10117"/>
    <x v="2"/>
    <x v="0"/>
    <x v="3"/>
    <n v="2327.06"/>
    <n v="769.02"/>
    <n v="10"/>
    <n v="33.046848813524363"/>
  </r>
  <r>
    <s v="ORD10154"/>
    <x v="2"/>
    <x v="1"/>
    <x v="0"/>
    <n v="508.64"/>
    <n v="53.95"/>
    <n v="20"/>
    <n v="10.60671594841145"/>
  </r>
  <r>
    <s v="ORD10349"/>
    <x v="3"/>
    <x v="2"/>
    <x v="2"/>
    <n v="4669.99"/>
    <n v="418.95"/>
    <n v="13"/>
    <n v="8.9711112871762033"/>
  </r>
  <r>
    <s v="ORD10323"/>
    <x v="4"/>
    <x v="3"/>
    <x v="4"/>
    <n v="4067.7"/>
    <n v="214.61"/>
    <n v="9"/>
    <n v="5.2759544705853436"/>
  </r>
  <r>
    <s v="ORD10324"/>
    <x v="5"/>
    <x v="4"/>
    <x v="2"/>
    <n v="2773.85"/>
    <n v="92.32"/>
    <n v="1"/>
    <n v="3.3282261117219747"/>
  </r>
  <r>
    <s v="ORD10087"/>
    <x v="6"/>
    <x v="0"/>
    <x v="0"/>
    <n v="202.62"/>
    <n v="57.71"/>
    <n v="3"/>
    <n v="28.48188727667555"/>
  </r>
  <r>
    <s v="ORD10293"/>
    <x v="6"/>
    <x v="0"/>
    <x v="1"/>
    <n v="2017.34"/>
    <n v="483.18"/>
    <n v="10"/>
    <n v="23.951341866021593"/>
  </r>
  <r>
    <s v="ORD10298"/>
    <x v="7"/>
    <x v="3"/>
    <x v="4"/>
    <n v="3422.81"/>
    <n v="519.79"/>
    <n v="6"/>
    <n v="15.186060575959518"/>
  </r>
  <r>
    <s v="ORD10472"/>
    <x v="7"/>
    <x v="1"/>
    <x v="2"/>
    <n v="3622.97"/>
    <n v="-47.06"/>
    <n v="14"/>
    <n v="-1.2989342997595896"/>
  </r>
  <r>
    <s v="ORD10500"/>
    <x v="8"/>
    <x v="1"/>
    <x v="1"/>
    <n v="2303.09"/>
    <n v="790.31"/>
    <n v="8"/>
    <n v="34.315202619090002"/>
  </r>
  <r>
    <s v="ORD10394"/>
    <x v="9"/>
    <x v="0"/>
    <x v="4"/>
    <n v="1448.59"/>
    <n v="343.91"/>
    <n v="2"/>
    <n v="23.74101712699936"/>
  </r>
  <r>
    <s v="ORD10263"/>
    <x v="10"/>
    <x v="2"/>
    <x v="1"/>
    <n v="344.68"/>
    <n v="33.049999999999997"/>
    <n v="2"/>
    <n v="9.5886039224788195"/>
  </r>
  <r>
    <s v="ORD10238"/>
    <x v="11"/>
    <x v="0"/>
    <x v="0"/>
    <n v="4516.87"/>
    <n v="21.15"/>
    <n v="11"/>
    <n v="0.46824460301049176"/>
  </r>
  <r>
    <s v="ORD10072"/>
    <x v="12"/>
    <x v="2"/>
    <x v="3"/>
    <n v="3235.43"/>
    <n v="154.44999999999999"/>
    <n v="2"/>
    <n v="4.7737085951480944"/>
  </r>
  <r>
    <s v="ORD10299"/>
    <x v="13"/>
    <x v="0"/>
    <x v="0"/>
    <n v="2841.49"/>
    <n v="575.94000000000005"/>
    <n v="8"/>
    <n v="20.268943406452252"/>
  </r>
  <r>
    <s v="ORD10146"/>
    <x v="14"/>
    <x v="3"/>
    <x v="3"/>
    <n v="4293.66"/>
    <n v="174.99"/>
    <n v="2"/>
    <n v="4.0755439415323993"/>
  </r>
  <r>
    <s v="ORD10401"/>
    <x v="15"/>
    <x v="1"/>
    <x v="3"/>
    <n v="933.85"/>
    <n v="216.04"/>
    <n v="19"/>
    <n v="23.134336349520797"/>
  </r>
  <r>
    <s v="ORD10196"/>
    <x v="16"/>
    <x v="1"/>
    <x v="1"/>
    <n v="4066.92"/>
    <n v="691.78"/>
    <n v="5"/>
    <n v="17.009923971949288"/>
  </r>
  <r>
    <s v="ORD10307"/>
    <x v="16"/>
    <x v="2"/>
    <x v="4"/>
    <n v="4615.46"/>
    <n v="121.29"/>
    <n v="9"/>
    <n v="2.627907077517734"/>
  </r>
  <r>
    <s v="ORD10144"/>
    <x v="17"/>
    <x v="3"/>
    <x v="4"/>
    <n v="2089.83"/>
    <n v="158.91999999999999"/>
    <n v="4"/>
    <n v="7.6044462946746858"/>
  </r>
  <r>
    <s v="ORD10246"/>
    <x v="18"/>
    <x v="4"/>
    <x v="4"/>
    <n v="2646.35"/>
    <n v="668.89"/>
    <n v="16"/>
    <n v="25.27594611445954"/>
  </r>
  <r>
    <s v="ORD10337"/>
    <x v="19"/>
    <x v="1"/>
    <x v="4"/>
    <n v="1574.28"/>
    <n v="405.43"/>
    <n v="11"/>
    <n v="25.753360266280463"/>
  </r>
  <r>
    <s v="ORD10496"/>
    <x v="19"/>
    <x v="0"/>
    <x v="1"/>
    <n v="2334.54"/>
    <n v="760.3"/>
    <n v="13"/>
    <n v="32.567443693404272"/>
  </r>
  <r>
    <s v="ORD10292"/>
    <x v="20"/>
    <x v="2"/>
    <x v="2"/>
    <n v="1375.86"/>
    <n v="374.46"/>
    <n v="18"/>
    <n v="27.216431904408878"/>
  </r>
  <r>
    <s v="ORD10404"/>
    <x v="20"/>
    <x v="3"/>
    <x v="4"/>
    <n v="309.08"/>
    <n v="75.06"/>
    <n v="5"/>
    <n v="24.284974763815196"/>
  </r>
  <r>
    <s v="ORD10080"/>
    <x v="21"/>
    <x v="4"/>
    <x v="1"/>
    <n v="2594.37"/>
    <n v="265.35000000000002"/>
    <n v="10"/>
    <n v="10.227916604031037"/>
  </r>
  <r>
    <s v="ORD10357"/>
    <x v="21"/>
    <x v="4"/>
    <x v="3"/>
    <n v="2802.63"/>
    <n v="190.17"/>
    <n v="19"/>
    <n v="6.7854122734717031"/>
  </r>
  <r>
    <s v="ORD10218"/>
    <x v="22"/>
    <x v="3"/>
    <x v="3"/>
    <n v="1943.76"/>
    <n v="182.53"/>
    <n v="8"/>
    <n v="9.3905626208996988"/>
  </r>
  <r>
    <s v="ORD10160"/>
    <x v="23"/>
    <x v="3"/>
    <x v="0"/>
    <n v="4855.05"/>
    <n v="798.5"/>
    <n v="8"/>
    <n v="16.446792515010145"/>
  </r>
  <r>
    <s v="ORD10264"/>
    <x v="24"/>
    <x v="4"/>
    <x v="3"/>
    <n v="2416.94"/>
    <n v="540.12"/>
    <n v="18"/>
    <n v="22.34726555065496"/>
  </r>
  <r>
    <s v="ORD10477"/>
    <x v="24"/>
    <x v="0"/>
    <x v="3"/>
    <n v="3241.76"/>
    <n v="680.9"/>
    <n v="14"/>
    <n v="21.004022506292877"/>
  </r>
  <r>
    <s v="ORD10356"/>
    <x v="25"/>
    <x v="0"/>
    <x v="2"/>
    <n v="4055.75"/>
    <n v="830.27"/>
    <n v="4"/>
    <n v="20.471429452012575"/>
  </r>
  <r>
    <s v="ORD10126"/>
    <x v="26"/>
    <x v="1"/>
    <x v="1"/>
    <n v="1531.99"/>
    <n v="116.97"/>
    <n v="3"/>
    <n v="7.6351673313794475"/>
  </r>
  <r>
    <s v="ORD10138"/>
    <x v="27"/>
    <x v="1"/>
    <x v="2"/>
    <n v="3493.45"/>
    <n v="783.04"/>
    <n v="6"/>
    <n v="22.414518599092588"/>
  </r>
  <r>
    <s v="ORD10302"/>
    <x v="27"/>
    <x v="2"/>
    <x v="0"/>
    <n v="470.56"/>
    <n v="75.19"/>
    <n v="5"/>
    <n v="15.978833730023801"/>
  </r>
  <r>
    <s v="ORD10191"/>
    <x v="28"/>
    <x v="2"/>
    <x v="1"/>
    <n v="3266.54"/>
    <n v="96.76"/>
    <n v="5"/>
    <n v="2.9621556754241491"/>
  </r>
  <r>
    <s v="ORD10301"/>
    <x v="28"/>
    <x v="2"/>
    <x v="0"/>
    <n v="4964.66"/>
    <n v="38"/>
    <n v="1"/>
    <n v="0.76540991729544428"/>
  </r>
  <r>
    <s v="ORD10366"/>
    <x v="29"/>
    <x v="4"/>
    <x v="0"/>
    <n v="359.33"/>
    <n v="-4.8899999999999997"/>
    <n v="20"/>
    <n v="-1.3608660562713939"/>
  </r>
  <r>
    <s v="ORD10182"/>
    <x v="30"/>
    <x v="4"/>
    <x v="3"/>
    <n v="2129.83"/>
    <n v="310.44"/>
    <n v="15"/>
    <n v="14.5758112149796"/>
  </r>
  <r>
    <s v="ORD10214"/>
    <x v="31"/>
    <x v="2"/>
    <x v="0"/>
    <n v="4435.34"/>
    <n v="916.39"/>
    <n v="10"/>
    <n v="20.661099261837872"/>
  </r>
  <r>
    <s v="ORD10387"/>
    <x v="31"/>
    <x v="2"/>
    <x v="2"/>
    <n v="3690.05"/>
    <n v="826.41"/>
    <n v="13"/>
    <n v="22.395631495508191"/>
  </r>
  <r>
    <s v="ORD10157"/>
    <x v="32"/>
    <x v="0"/>
    <x v="0"/>
    <n v="662.88"/>
    <n v="121.5"/>
    <n v="12"/>
    <n v="18.329109341057205"/>
  </r>
  <r>
    <s v="ORD10449"/>
    <x v="33"/>
    <x v="4"/>
    <x v="4"/>
    <n v="2431.9299999999998"/>
    <n v="668.28"/>
    <n v="4"/>
    <n v="27.479409357999611"/>
  </r>
  <r>
    <s v="ORD10053"/>
    <x v="34"/>
    <x v="1"/>
    <x v="1"/>
    <n v="1324.15"/>
    <n v="335.97"/>
    <n v="15"/>
    <n v="25.37250311520598"/>
  </r>
  <r>
    <s v="ORD10499"/>
    <x v="35"/>
    <x v="0"/>
    <x v="1"/>
    <n v="806.83"/>
    <n v="250.66"/>
    <n v="18"/>
    <n v="31.067263240087751"/>
  </r>
  <r>
    <s v="ORD10215"/>
    <x v="36"/>
    <x v="3"/>
    <x v="3"/>
    <n v="4980.08"/>
    <n v="91.12"/>
    <n v="20"/>
    <n v="1.8296894828998731"/>
  </r>
  <r>
    <s v="ORD10304"/>
    <x v="36"/>
    <x v="3"/>
    <x v="0"/>
    <n v="1802.18"/>
    <n v="-88.81"/>
    <n v="17"/>
    <n v="-4.9279206294598765"/>
  </r>
  <r>
    <s v="ORD10418"/>
    <x v="37"/>
    <x v="1"/>
    <x v="2"/>
    <n v="2226.34"/>
    <n v="-55.17"/>
    <n v="7"/>
    <n v="-2.4780581582327947"/>
  </r>
  <r>
    <s v="ORD10127"/>
    <x v="38"/>
    <x v="1"/>
    <x v="3"/>
    <n v="334.89"/>
    <n v="30.52"/>
    <n v="4"/>
    <n v="9.1134402341067222"/>
  </r>
  <r>
    <s v="ORD10272"/>
    <x v="38"/>
    <x v="1"/>
    <x v="2"/>
    <n v="1969.19"/>
    <n v="501.61"/>
    <n v="5"/>
    <n v="25.4729101813436"/>
  </r>
  <r>
    <s v="ORD10464"/>
    <x v="38"/>
    <x v="3"/>
    <x v="1"/>
    <n v="324.27"/>
    <n v="11.22"/>
    <n v="16"/>
    <n v="3.4600795633268575"/>
  </r>
  <r>
    <s v="ORD10019"/>
    <x v="39"/>
    <x v="3"/>
    <x v="2"/>
    <n v="3794.58"/>
    <n v="369.09"/>
    <n v="7"/>
    <n v="9.7267681798776149"/>
  </r>
  <r>
    <s v="ORD10280"/>
    <x v="39"/>
    <x v="1"/>
    <x v="2"/>
    <n v="4632.17"/>
    <n v="-36.130000000000003"/>
    <n v="11"/>
    <n v="-0.77998000936925893"/>
  </r>
  <r>
    <s v="ORD10070"/>
    <x v="40"/>
    <x v="2"/>
    <x v="1"/>
    <n v="4912.6000000000004"/>
    <n v="1027.42"/>
    <n v="1"/>
    <n v="20.913976305825834"/>
  </r>
  <r>
    <s v="ORD10407"/>
    <x v="41"/>
    <x v="4"/>
    <x v="3"/>
    <n v="3227.1"/>
    <n v="568.74"/>
    <n v="14"/>
    <n v="17.623872826996376"/>
  </r>
  <r>
    <s v="ORD10194"/>
    <x v="42"/>
    <x v="1"/>
    <x v="0"/>
    <n v="3394.55"/>
    <n v="569.89"/>
    <n v="11"/>
    <n v="16.788381376029221"/>
  </r>
  <r>
    <s v="ORD10074"/>
    <x v="43"/>
    <x v="2"/>
    <x v="3"/>
    <n v="3511.65"/>
    <n v="-27.06"/>
    <n v="4"/>
    <n v="-0.77057793345008752"/>
  </r>
  <r>
    <s v="ORD10367"/>
    <x v="43"/>
    <x v="1"/>
    <x v="4"/>
    <n v="4001.13"/>
    <n v="1373.37"/>
    <n v="20"/>
    <n v="34.324553313688874"/>
  </r>
  <r>
    <s v="ORD10440"/>
    <x v="44"/>
    <x v="2"/>
    <x v="0"/>
    <n v="4397.12"/>
    <n v="620.74"/>
    <n v="17"/>
    <n v="14.116967469616476"/>
  </r>
  <r>
    <s v="ORD10383"/>
    <x v="45"/>
    <x v="4"/>
    <x v="1"/>
    <n v="269.69"/>
    <n v="65.260000000000005"/>
    <n v="3"/>
    <n v="24.198153435425862"/>
  </r>
  <r>
    <s v="ORD10159"/>
    <x v="46"/>
    <x v="4"/>
    <x v="0"/>
    <n v="2953.61"/>
    <n v="971.12"/>
    <n v="5"/>
    <n v="32.879086947836718"/>
  </r>
  <r>
    <s v="ORD10169"/>
    <x v="47"/>
    <x v="2"/>
    <x v="2"/>
    <n v="1707.92"/>
    <n v="6.28"/>
    <n v="6"/>
    <n v="0.36769872125158087"/>
  </r>
  <r>
    <s v="ORD10178"/>
    <x v="47"/>
    <x v="2"/>
    <x v="4"/>
    <n v="3466.79"/>
    <n v="492.46"/>
    <n v="12"/>
    <n v="14.205071550339074"/>
  </r>
  <r>
    <s v="ORD10459"/>
    <x v="48"/>
    <x v="2"/>
    <x v="0"/>
    <n v="4228.17"/>
    <n v="139.18"/>
    <n v="6"/>
    <n v="3.2917314109886782"/>
  </r>
  <r>
    <s v="ORD10479"/>
    <x v="48"/>
    <x v="4"/>
    <x v="4"/>
    <n v="884.44"/>
    <n v="287.92"/>
    <n v="11"/>
    <n v="32.553932431821266"/>
  </r>
  <r>
    <s v="ORD10336"/>
    <x v="49"/>
    <x v="2"/>
    <x v="0"/>
    <n v="1128.97"/>
    <n v="21.37"/>
    <n v="8"/>
    <n v="1.8928758071516516"/>
  </r>
  <r>
    <s v="ORD10004"/>
    <x v="50"/>
    <x v="1"/>
    <x v="2"/>
    <n v="3024.85"/>
    <n v="616.52"/>
    <n v="13"/>
    <n v="20.381837115890043"/>
  </r>
  <r>
    <s v="ORD10488"/>
    <x v="51"/>
    <x v="4"/>
    <x v="4"/>
    <n v="3595.62"/>
    <n v="-156.97999999999999"/>
    <n v="4"/>
    <n v="-4.3658673608445833"/>
  </r>
  <r>
    <s v="ORD10273"/>
    <x v="52"/>
    <x v="0"/>
    <x v="4"/>
    <n v="2084.29"/>
    <n v="525.97"/>
    <n v="10"/>
    <n v="25.234972100811309"/>
  </r>
  <r>
    <s v="ORD10308"/>
    <x v="52"/>
    <x v="4"/>
    <x v="0"/>
    <n v="2518.04"/>
    <n v="562.49"/>
    <n v="15"/>
    <n v="22.338406061857636"/>
  </r>
  <r>
    <s v="ORD10295"/>
    <x v="53"/>
    <x v="3"/>
    <x v="0"/>
    <n v="275.38"/>
    <n v="74.02"/>
    <n v="18"/>
    <n v="26.879221439465468"/>
  </r>
  <r>
    <s v="ORD10257"/>
    <x v="54"/>
    <x v="1"/>
    <x v="2"/>
    <n v="4429.8"/>
    <n v="986.82"/>
    <n v="8"/>
    <n v="22.276852228091563"/>
  </r>
  <r>
    <s v="ORD10289"/>
    <x v="54"/>
    <x v="2"/>
    <x v="1"/>
    <n v="947.59"/>
    <n v="207.8"/>
    <n v="7"/>
    <n v="21.92931542122648"/>
  </r>
  <r>
    <s v="ORD10428"/>
    <x v="54"/>
    <x v="2"/>
    <x v="0"/>
    <n v="806.28"/>
    <n v="226.98"/>
    <n v="18"/>
    <n v="28.151510641464505"/>
  </r>
  <r>
    <s v="ORD10276"/>
    <x v="55"/>
    <x v="1"/>
    <x v="0"/>
    <n v="4127.6899999999996"/>
    <n v="1038.98"/>
    <n v="14"/>
    <n v="25.170979409790949"/>
  </r>
  <r>
    <s v="ORD10158"/>
    <x v="56"/>
    <x v="4"/>
    <x v="2"/>
    <n v="4065.89"/>
    <n v="686.4"/>
    <n v="18"/>
    <n v="16.88191269316189"/>
  </r>
  <r>
    <s v="ORD10251"/>
    <x v="57"/>
    <x v="3"/>
    <x v="3"/>
    <n v="2827.42"/>
    <n v="239.93"/>
    <n v="1"/>
    <n v="8.4858280694060308"/>
  </r>
  <r>
    <s v="ORD10320"/>
    <x v="58"/>
    <x v="2"/>
    <x v="2"/>
    <n v="369.26"/>
    <n v="93.29"/>
    <n v="20"/>
    <n v="25.264041596706932"/>
  </r>
  <r>
    <s v="ORD10231"/>
    <x v="59"/>
    <x v="3"/>
    <x v="2"/>
    <n v="3068.64"/>
    <n v="306.67"/>
    <n v="4"/>
    <n v="9.9936779811251899"/>
  </r>
  <r>
    <s v="ORD10494"/>
    <x v="60"/>
    <x v="3"/>
    <x v="2"/>
    <n v="410.59"/>
    <n v="30.33"/>
    <n v="14"/>
    <n v="7.3869310017292191"/>
  </r>
  <r>
    <s v="ORD10033"/>
    <x v="61"/>
    <x v="0"/>
    <x v="3"/>
    <n v="4291.8500000000004"/>
    <n v="-66.709999999999994"/>
    <n v="13"/>
    <n v="-1.5543413679415634"/>
  </r>
  <r>
    <s v="ORD10355"/>
    <x v="61"/>
    <x v="3"/>
    <x v="3"/>
    <n v="4305.7700000000004"/>
    <n v="710.18"/>
    <n v="19"/>
    <n v="16.493681734045243"/>
  </r>
  <r>
    <s v="ORD10009"/>
    <x v="62"/>
    <x v="3"/>
    <x v="2"/>
    <n v="1132.6300000000001"/>
    <n v="32.44"/>
    <n v="9"/>
    <n v="2.8641303867988661"/>
  </r>
  <r>
    <s v="ORD10213"/>
    <x v="63"/>
    <x v="4"/>
    <x v="0"/>
    <n v="4425.54"/>
    <n v="1080.1500000000001"/>
    <n v="18"/>
    <n v="24.407190986862624"/>
  </r>
  <r>
    <s v="ORD10075"/>
    <x v="64"/>
    <x v="4"/>
    <x v="2"/>
    <n v="4078.19"/>
    <n v="-155.69"/>
    <n v="7"/>
    <n v="-3.8176249757858263"/>
  </r>
  <r>
    <s v="ORD10205"/>
    <x v="65"/>
    <x v="3"/>
    <x v="0"/>
    <n v="1470.21"/>
    <n v="-67.650000000000006"/>
    <n v="6"/>
    <n v="-4.6013834758299836"/>
  </r>
  <r>
    <s v="ORD10237"/>
    <x v="65"/>
    <x v="4"/>
    <x v="2"/>
    <n v="4354.6499999999996"/>
    <n v="660.9"/>
    <n v="14"/>
    <n v="15.176879887017328"/>
  </r>
  <r>
    <s v="ORD10284"/>
    <x v="65"/>
    <x v="4"/>
    <x v="3"/>
    <n v="4860.79"/>
    <n v="517.05999999999995"/>
    <n v="6"/>
    <n v="10.637365531117368"/>
  </r>
  <r>
    <s v="ORD10382"/>
    <x v="65"/>
    <x v="2"/>
    <x v="1"/>
    <n v="3167.74"/>
    <n v="248.83"/>
    <n v="3"/>
    <n v="7.8551269990592667"/>
  </r>
  <r>
    <s v="ORD10269"/>
    <x v="66"/>
    <x v="2"/>
    <x v="0"/>
    <n v="775.72"/>
    <n v="-6.41"/>
    <n v="6"/>
    <n v="-0.82632908781519099"/>
  </r>
  <r>
    <s v="ORD10300"/>
    <x v="67"/>
    <x v="1"/>
    <x v="2"/>
    <n v="4037.49"/>
    <n v="49.78"/>
    <n v="7"/>
    <n v="1.2329442302024278"/>
  </r>
  <r>
    <s v="ORD10353"/>
    <x v="68"/>
    <x v="3"/>
    <x v="4"/>
    <n v="2134.1999999999998"/>
    <n v="-30.37"/>
    <n v="14"/>
    <n v="-1.4230156498922315"/>
  </r>
  <r>
    <s v="ORD10013"/>
    <x v="69"/>
    <x v="0"/>
    <x v="3"/>
    <n v="2320.96"/>
    <n v="453.17"/>
    <n v="7"/>
    <n v="19.525110299186544"/>
  </r>
  <r>
    <s v="ORD10187"/>
    <x v="70"/>
    <x v="3"/>
    <x v="1"/>
    <n v="3462.05"/>
    <n v="82.8"/>
    <n v="20"/>
    <n v="2.3916465677849827"/>
  </r>
  <r>
    <s v="ORD10441"/>
    <x v="71"/>
    <x v="3"/>
    <x v="2"/>
    <n v="2439.15"/>
    <n v="62.97"/>
    <n v="3"/>
    <n v="2.5816370456921467"/>
  </r>
  <r>
    <s v="ORD10487"/>
    <x v="72"/>
    <x v="4"/>
    <x v="4"/>
    <n v="881.36"/>
    <n v="-14.16"/>
    <n v="6"/>
    <n v="-1.6066079695016791"/>
  </r>
  <r>
    <s v="ORD10490"/>
    <x v="73"/>
    <x v="0"/>
    <x v="2"/>
    <n v="657.73"/>
    <n v="156.12"/>
    <n v="19"/>
    <n v="23.736183540358503"/>
  </r>
  <r>
    <s v="ORD10022"/>
    <x v="74"/>
    <x v="1"/>
    <x v="1"/>
    <n v="2227.71"/>
    <n v="736.65"/>
    <n v="1"/>
    <n v="33.067589587513638"/>
  </r>
  <r>
    <s v="ORD10412"/>
    <x v="74"/>
    <x v="3"/>
    <x v="4"/>
    <n v="2687.93"/>
    <n v="301.95999999999998"/>
    <n v="9"/>
    <n v="11.233923502472162"/>
  </r>
  <r>
    <s v="ORD10232"/>
    <x v="75"/>
    <x v="4"/>
    <x v="3"/>
    <n v="526.73"/>
    <n v="178.26"/>
    <n v="17"/>
    <n v="33.842765743359969"/>
  </r>
  <r>
    <s v="ORD10078"/>
    <x v="76"/>
    <x v="2"/>
    <x v="2"/>
    <n v="1585.73"/>
    <n v="60.91"/>
    <n v="20"/>
    <n v="3.8411331058881393"/>
  </r>
  <r>
    <s v="ORD10109"/>
    <x v="76"/>
    <x v="0"/>
    <x v="4"/>
    <n v="4239.1000000000004"/>
    <n v="62.95"/>
    <n v="17"/>
    <n v="1.4849850204052746"/>
  </r>
  <r>
    <s v="ORD10007"/>
    <x v="77"/>
    <x v="4"/>
    <x v="2"/>
    <n v="1257.68"/>
    <n v="232.13"/>
    <n v="6"/>
    <n v="18.457000190827554"/>
  </r>
  <r>
    <s v="ORD10262"/>
    <x v="77"/>
    <x v="0"/>
    <x v="2"/>
    <n v="642.08000000000004"/>
    <n v="214.36"/>
    <n v="13"/>
    <n v="33.385247944181415"/>
  </r>
  <r>
    <s v="ORD10482"/>
    <x v="77"/>
    <x v="2"/>
    <x v="1"/>
    <n v="3187.98"/>
    <n v="238.03"/>
    <n v="8"/>
    <n v="7.4664834785663645"/>
  </r>
  <r>
    <s v="ORD10408"/>
    <x v="78"/>
    <x v="0"/>
    <x v="4"/>
    <n v="986.95"/>
    <n v="21.52"/>
    <n v="1"/>
    <n v="2.1804549369268957"/>
  </r>
  <r>
    <s v="ORD10371"/>
    <x v="79"/>
    <x v="2"/>
    <x v="4"/>
    <n v="4352.1499999999996"/>
    <n v="-196.62"/>
    <n v="6"/>
    <n v="-4.517767080638305"/>
  </r>
  <r>
    <s v="ORD10255"/>
    <x v="80"/>
    <x v="2"/>
    <x v="4"/>
    <n v="1257.3499999999999"/>
    <n v="45.13"/>
    <n v="9"/>
    <n v="3.5892949457191716"/>
  </r>
  <r>
    <s v="ORD10396"/>
    <x v="80"/>
    <x v="0"/>
    <x v="3"/>
    <n v="4917.2"/>
    <n v="1668.62"/>
    <n v="18"/>
    <n v="33.934352883754983"/>
  </r>
  <r>
    <s v="ORD10152"/>
    <x v="81"/>
    <x v="4"/>
    <x v="1"/>
    <n v="1111.3599999999999"/>
    <n v="219.64"/>
    <n v="20"/>
    <n v="19.763173049236972"/>
  </r>
  <r>
    <s v="ORD10181"/>
    <x v="82"/>
    <x v="1"/>
    <x v="0"/>
    <n v="4923.26"/>
    <n v="223.77"/>
    <n v="12"/>
    <n v="4.5451591018958979"/>
  </r>
  <r>
    <s v="ORD10252"/>
    <x v="82"/>
    <x v="4"/>
    <x v="4"/>
    <n v="1572.31"/>
    <n v="516.05999999999995"/>
    <n v="7"/>
    <n v="32.821771788006181"/>
  </r>
  <r>
    <s v="ORD10444"/>
    <x v="83"/>
    <x v="3"/>
    <x v="2"/>
    <n v="4785.7"/>
    <n v="1399.29"/>
    <n v="17"/>
    <n v="29.238982802933737"/>
  </r>
  <r>
    <s v="ORD10122"/>
    <x v="84"/>
    <x v="4"/>
    <x v="1"/>
    <n v="517.66999999999996"/>
    <n v="21.65"/>
    <n v="19"/>
    <n v="4.1822010160913328"/>
  </r>
  <r>
    <s v="ORD10315"/>
    <x v="84"/>
    <x v="0"/>
    <x v="0"/>
    <n v="4802.55"/>
    <n v="-193.38"/>
    <n v="2"/>
    <n v="-4.0266108629790427"/>
  </r>
  <r>
    <s v="ORD10433"/>
    <x v="85"/>
    <x v="4"/>
    <x v="1"/>
    <n v="3187.53"/>
    <n v="152.58000000000001"/>
    <n v="10"/>
    <n v="4.7867784773790367"/>
  </r>
  <r>
    <s v="ORD10116"/>
    <x v="86"/>
    <x v="2"/>
    <x v="2"/>
    <n v="1904.11"/>
    <n v="283.36"/>
    <n v="15"/>
    <n v="14.881493191044637"/>
  </r>
  <r>
    <s v="ORD10044"/>
    <x v="87"/>
    <x v="4"/>
    <x v="0"/>
    <n v="4585.32"/>
    <n v="1152.6500000000001"/>
    <n v="14"/>
    <n v="25.137831165545705"/>
  </r>
  <r>
    <s v="ORD10297"/>
    <x v="88"/>
    <x v="0"/>
    <x v="1"/>
    <n v="3048.02"/>
    <n v="-7.26"/>
    <n v="13"/>
    <n v="-0.23818741346841557"/>
  </r>
  <r>
    <s v="ORD10303"/>
    <x v="89"/>
    <x v="2"/>
    <x v="4"/>
    <n v="3551.59"/>
    <n v="474.54"/>
    <n v="9"/>
    <n v="13.361339569038092"/>
  </r>
  <r>
    <s v="ORD10309"/>
    <x v="90"/>
    <x v="3"/>
    <x v="2"/>
    <n v="1370.27"/>
    <n v="-57.79"/>
    <n v="13"/>
    <n v="-4.2174170054076932"/>
  </r>
  <r>
    <s v="ORD10136"/>
    <x v="91"/>
    <x v="4"/>
    <x v="3"/>
    <n v="1750.74"/>
    <n v="118.45"/>
    <n v="19"/>
    <n v="6.7657104995601864"/>
  </r>
  <r>
    <s v="ORD10360"/>
    <x v="92"/>
    <x v="1"/>
    <x v="0"/>
    <n v="4759.57"/>
    <n v="993.42"/>
    <n v="8"/>
    <n v="20.872053567864324"/>
  </r>
  <r>
    <s v="ORD10005"/>
    <x v="93"/>
    <x v="0"/>
    <x v="2"/>
    <n v="4989.7700000000004"/>
    <n v="983.04"/>
    <n v="2"/>
    <n v="19.701108467925373"/>
  </r>
  <r>
    <s v="ORD10328"/>
    <x v="93"/>
    <x v="4"/>
    <x v="4"/>
    <n v="4298.99"/>
    <n v="-13.16"/>
    <n v="1"/>
    <n v="-0.30611841385999972"/>
  </r>
  <r>
    <s v="ORD10416"/>
    <x v="93"/>
    <x v="4"/>
    <x v="3"/>
    <n v="2097.41"/>
    <n v="-15.34"/>
    <n v="20"/>
    <n v="-0.73137822361865357"/>
  </r>
  <r>
    <s v="ORD10420"/>
    <x v="93"/>
    <x v="2"/>
    <x v="4"/>
    <n v="4597.67"/>
    <n v="876.18"/>
    <n v="18"/>
    <n v="19.057044111473854"/>
  </r>
  <r>
    <s v="ORD10026"/>
    <x v="94"/>
    <x v="1"/>
    <x v="0"/>
    <n v="3991.87"/>
    <n v="417.54"/>
    <n v="8"/>
    <n v="10.459759461104696"/>
  </r>
  <r>
    <s v="ORD10204"/>
    <x v="94"/>
    <x v="2"/>
    <x v="3"/>
    <n v="3705.76"/>
    <n v="642.11"/>
    <n v="3"/>
    <n v="17.327349855360303"/>
  </r>
  <r>
    <s v="ORD10430"/>
    <x v="94"/>
    <x v="4"/>
    <x v="0"/>
    <n v="1100.25"/>
    <n v="25.71"/>
    <n v="6"/>
    <n v="2.3367416496250852"/>
  </r>
  <r>
    <s v="ORD10151"/>
    <x v="95"/>
    <x v="2"/>
    <x v="2"/>
    <n v="4813.8900000000003"/>
    <n v="674.86"/>
    <n v="18"/>
    <n v="14.019015806343727"/>
  </r>
  <r>
    <s v="ORD10405"/>
    <x v="95"/>
    <x v="0"/>
    <x v="4"/>
    <n v="938.29"/>
    <n v="43.32"/>
    <n v="17"/>
    <n v="4.6169094842745846"/>
  </r>
  <r>
    <s v="ORD10067"/>
    <x v="96"/>
    <x v="0"/>
    <x v="1"/>
    <n v="870.23"/>
    <n v="5.69"/>
    <n v="9"/>
    <n v="0.65385013157441141"/>
  </r>
  <r>
    <s v="ORD10458"/>
    <x v="96"/>
    <x v="0"/>
    <x v="0"/>
    <n v="4728.6400000000003"/>
    <n v="1089.21"/>
    <n v="19"/>
    <n v="23.034318535562022"/>
  </r>
  <r>
    <s v="ORD10023"/>
    <x v="97"/>
    <x v="4"/>
    <x v="0"/>
    <n v="3039.29"/>
    <n v="-20.54"/>
    <n v="7"/>
    <n v="-0.67581573327981204"/>
  </r>
  <r>
    <s v="ORD10170"/>
    <x v="98"/>
    <x v="3"/>
    <x v="4"/>
    <n v="4196.79"/>
    <n v="465.51"/>
    <n v="14"/>
    <n v="11.092048923105516"/>
  </r>
  <r>
    <s v="ORD10338"/>
    <x v="98"/>
    <x v="1"/>
    <x v="0"/>
    <n v="4427.8999999999996"/>
    <n v="1496.36"/>
    <n v="19"/>
    <n v="33.793897784502811"/>
  </r>
  <r>
    <s v="ORD10344"/>
    <x v="99"/>
    <x v="4"/>
    <x v="3"/>
    <n v="4877.43"/>
    <n v="72.209999999999994"/>
    <n v="9"/>
    <n v="1.4804928005117446"/>
  </r>
  <r>
    <s v="ORD10179"/>
    <x v="100"/>
    <x v="4"/>
    <x v="3"/>
    <n v="4109.47"/>
    <n v="610.05999999999995"/>
    <n v="8"/>
    <n v="14.845223349969702"/>
  </r>
  <r>
    <s v="ORD10313"/>
    <x v="100"/>
    <x v="1"/>
    <x v="2"/>
    <n v="2690.41"/>
    <n v="856.63"/>
    <n v="14"/>
    <n v="31.840128456257599"/>
  </r>
  <r>
    <s v="ORD10147"/>
    <x v="101"/>
    <x v="4"/>
    <x v="0"/>
    <n v="955.48"/>
    <n v="247.72"/>
    <n v="20"/>
    <n v="25.926236027965"/>
  </r>
  <r>
    <s v="ORD10443"/>
    <x v="101"/>
    <x v="4"/>
    <x v="3"/>
    <n v="839.17"/>
    <n v="273.63"/>
    <n v="10"/>
    <n v="32.60721903785884"/>
  </r>
  <r>
    <s v="ORD10065"/>
    <x v="102"/>
    <x v="1"/>
    <x v="3"/>
    <n v="2424.71"/>
    <n v="88.65"/>
    <n v="14"/>
    <n v="3.6561073282990546"/>
  </r>
  <r>
    <s v="ORD10119"/>
    <x v="103"/>
    <x v="0"/>
    <x v="4"/>
    <n v="4981.59"/>
    <n v="728.44"/>
    <n v="7"/>
    <n v="14.622640562551315"/>
  </r>
  <r>
    <s v="ORD10171"/>
    <x v="103"/>
    <x v="1"/>
    <x v="4"/>
    <n v="4593.8999999999996"/>
    <n v="591.54999999999995"/>
    <n v="16"/>
    <n v="12.876858442717518"/>
  </r>
  <r>
    <s v="ORD10084"/>
    <x v="104"/>
    <x v="2"/>
    <x v="2"/>
    <n v="2262.2800000000002"/>
    <n v="661.85"/>
    <n v="19"/>
    <n v="29.255883445020064"/>
  </r>
  <r>
    <s v="ORD10193"/>
    <x v="104"/>
    <x v="1"/>
    <x v="3"/>
    <n v="1185.17"/>
    <n v="-12.59"/>
    <n v="7"/>
    <n v="-1.0622948606529019"/>
  </r>
  <r>
    <s v="ORD10326"/>
    <x v="105"/>
    <x v="2"/>
    <x v="0"/>
    <n v="4409.33"/>
    <n v="952.36"/>
    <n v="20"/>
    <n v="21.598746294788551"/>
  </r>
  <r>
    <s v="ORD10192"/>
    <x v="106"/>
    <x v="0"/>
    <x v="0"/>
    <n v="2799.67"/>
    <n v="-61.12"/>
    <n v="4"/>
    <n v="-2.1831144384873933"/>
  </r>
  <r>
    <s v="ORD10034"/>
    <x v="107"/>
    <x v="2"/>
    <x v="1"/>
    <n v="2529.6"/>
    <n v="845.6"/>
    <n v="16"/>
    <n v="33.428209993674891"/>
  </r>
  <r>
    <s v="ORD10090"/>
    <x v="107"/>
    <x v="1"/>
    <x v="4"/>
    <n v="3004.35"/>
    <n v="45.73"/>
    <n v="18"/>
    <n v="1.5221262502704411"/>
  </r>
  <r>
    <s v="ORD10093"/>
    <x v="108"/>
    <x v="2"/>
    <x v="0"/>
    <n v="4538.51"/>
    <n v="-131.69999999999999"/>
    <n v="12"/>
    <n v="-2.9018334211007573"/>
  </r>
  <r>
    <s v="ORD10031"/>
    <x v="109"/>
    <x v="0"/>
    <x v="2"/>
    <n v="364.71"/>
    <n v="18"/>
    <n v="2"/>
    <n v="4.9354281483918729"/>
  </r>
  <r>
    <s v="ORD10054"/>
    <x v="110"/>
    <x v="0"/>
    <x v="3"/>
    <n v="4036.67"/>
    <n v="233.14"/>
    <n v="7"/>
    <n v="5.77555262134383"/>
  </r>
  <r>
    <s v="ORD10373"/>
    <x v="111"/>
    <x v="4"/>
    <x v="0"/>
    <n v="3244.57"/>
    <n v="114.01"/>
    <n v="16"/>
    <n v="3.5138708673260242"/>
  </r>
  <r>
    <s v="ORD10421"/>
    <x v="111"/>
    <x v="1"/>
    <x v="3"/>
    <n v="2585.09"/>
    <n v="535.03"/>
    <n v="20"/>
    <n v="20.696764909538931"/>
  </r>
  <r>
    <s v="ORD10239"/>
    <x v="112"/>
    <x v="4"/>
    <x v="0"/>
    <n v="2742.54"/>
    <n v="710.26"/>
    <n v="20"/>
    <n v="25.8978902768966"/>
  </r>
  <r>
    <s v="ORD10466"/>
    <x v="113"/>
    <x v="0"/>
    <x v="1"/>
    <n v="3297.35"/>
    <n v="860.13"/>
    <n v="14"/>
    <n v="26.085492895810276"/>
  </r>
  <r>
    <s v="ORD10221"/>
    <x v="114"/>
    <x v="0"/>
    <x v="4"/>
    <n v="2289.87"/>
    <n v="172.72"/>
    <n v="14"/>
    <n v="7.5427862717097476"/>
  </r>
  <r>
    <s v="ORD10008"/>
    <x v="115"/>
    <x v="4"/>
    <x v="1"/>
    <n v="3088.22"/>
    <n v="271.67"/>
    <n v="3"/>
    <n v="8.7969768993141706"/>
  </r>
  <r>
    <s v="ORD10334"/>
    <x v="116"/>
    <x v="2"/>
    <x v="4"/>
    <n v="4715.79"/>
    <n v="703.79"/>
    <n v="4"/>
    <n v="14.924116637933411"/>
  </r>
  <r>
    <s v="ORD10471"/>
    <x v="117"/>
    <x v="0"/>
    <x v="0"/>
    <n v="1098.5899999999999"/>
    <n v="17.329999999999998"/>
    <n v="1"/>
    <n v="1.5774765836208231"/>
  </r>
  <r>
    <s v="ORD10217"/>
    <x v="118"/>
    <x v="4"/>
    <x v="3"/>
    <n v="2761.71"/>
    <n v="426.25"/>
    <n v="16"/>
    <n v="15.434278037882326"/>
  </r>
  <r>
    <s v="ORD10332"/>
    <x v="118"/>
    <x v="2"/>
    <x v="3"/>
    <n v="3407.42"/>
    <n v="534.71"/>
    <n v="13"/>
    <n v="15.692518092867919"/>
  </r>
  <r>
    <s v="ORD10025"/>
    <x v="119"/>
    <x v="2"/>
    <x v="2"/>
    <n v="3933.85"/>
    <n v="773.27"/>
    <n v="19"/>
    <n v="19.656824739123252"/>
  </r>
  <r>
    <s v="ORD10029"/>
    <x v="119"/>
    <x v="0"/>
    <x v="0"/>
    <n v="2767.77"/>
    <n v="452.01"/>
    <n v="20"/>
    <n v="16.33119804029959"/>
  </r>
  <r>
    <s v="ORD10467"/>
    <x v="119"/>
    <x v="3"/>
    <x v="1"/>
    <n v="4054.23"/>
    <n v="751.68"/>
    <n v="1"/>
    <n v="18.540635336426398"/>
  </r>
  <r>
    <s v="ORD10453"/>
    <x v="120"/>
    <x v="1"/>
    <x v="1"/>
    <n v="2135.41"/>
    <n v="-43.27"/>
    <n v="3"/>
    <n v="-2.0263087650615108"/>
  </r>
  <r>
    <s v="ORD10060"/>
    <x v="121"/>
    <x v="3"/>
    <x v="2"/>
    <n v="959.02"/>
    <n v="42.24"/>
    <n v="15"/>
    <n v="4.4044962565952739"/>
  </r>
  <r>
    <s v="ORD10011"/>
    <x v="122"/>
    <x v="0"/>
    <x v="3"/>
    <n v="1617.21"/>
    <n v="444.07"/>
    <n v="13"/>
    <n v="27.459018927659361"/>
  </r>
  <r>
    <s v="ORD10052"/>
    <x v="123"/>
    <x v="0"/>
    <x v="3"/>
    <n v="948.24"/>
    <n v="323.83999999999997"/>
    <n v="12"/>
    <n v="34.151691554880621"/>
  </r>
  <r>
    <s v="ORD10242"/>
    <x v="123"/>
    <x v="4"/>
    <x v="0"/>
    <n v="3567.34"/>
    <n v="102.5"/>
    <n v="2"/>
    <n v="2.8732893416383072"/>
  </r>
  <r>
    <s v="ORD10306"/>
    <x v="123"/>
    <x v="1"/>
    <x v="2"/>
    <n v="372.16"/>
    <n v="11.3"/>
    <n v="6"/>
    <n v="3.036328460877042"/>
  </r>
  <r>
    <s v="ORD10465"/>
    <x v="124"/>
    <x v="2"/>
    <x v="3"/>
    <n v="1240.48"/>
    <n v="189.53"/>
    <n v="14"/>
    <n v="15.278763059460854"/>
  </r>
  <r>
    <s v="ORD10483"/>
    <x v="124"/>
    <x v="2"/>
    <x v="2"/>
    <n v="2481.39"/>
    <n v="692.11"/>
    <n v="6"/>
    <n v="27.8920282583552"/>
  </r>
  <r>
    <s v="ORD10442"/>
    <x v="125"/>
    <x v="3"/>
    <x v="1"/>
    <n v="423.92"/>
    <n v="47.91"/>
    <n v="11"/>
    <n v="11.301660690696357"/>
  </r>
  <r>
    <s v="ORD10037"/>
    <x v="126"/>
    <x v="3"/>
    <x v="4"/>
    <n v="3518.12"/>
    <n v="170.63"/>
    <n v="9"/>
    <n v="4.8500335406410242"/>
  </r>
  <r>
    <s v="ORD10410"/>
    <x v="127"/>
    <x v="2"/>
    <x v="4"/>
    <n v="4455.28"/>
    <n v="889.22"/>
    <n v="3"/>
    <n v="19.958790468836977"/>
  </r>
  <r>
    <s v="ORD10112"/>
    <x v="128"/>
    <x v="0"/>
    <x v="0"/>
    <n v="3743.02"/>
    <n v="-101.4"/>
    <n v="13"/>
    <n v="-2.7090424309781942"/>
  </r>
  <r>
    <s v="ORD10167"/>
    <x v="129"/>
    <x v="0"/>
    <x v="0"/>
    <n v="4010.89"/>
    <n v="1128.72"/>
    <n v="18"/>
    <n v="28.141385079122095"/>
  </r>
  <r>
    <s v="ORD10184"/>
    <x v="130"/>
    <x v="3"/>
    <x v="0"/>
    <n v="2838.44"/>
    <n v="985.91"/>
    <n v="1"/>
    <n v="34.734220205464972"/>
  </r>
  <r>
    <s v="ORD10429"/>
    <x v="130"/>
    <x v="2"/>
    <x v="3"/>
    <n v="1589.63"/>
    <n v="152.12"/>
    <n v="18"/>
    <n v="9.5695224674924351"/>
  </r>
  <r>
    <s v="ORD10195"/>
    <x v="131"/>
    <x v="2"/>
    <x v="4"/>
    <n v="2026.06"/>
    <n v="190.55"/>
    <n v="16"/>
    <n v="9.4049534564622981"/>
  </r>
  <r>
    <s v="ORD10153"/>
    <x v="132"/>
    <x v="3"/>
    <x v="4"/>
    <n v="4937.8999999999996"/>
    <n v="1066.69"/>
    <n v="4"/>
    <n v="21.602098057878859"/>
  </r>
  <r>
    <s v="ORD10166"/>
    <x v="133"/>
    <x v="1"/>
    <x v="3"/>
    <n v="2971.29"/>
    <n v="696.9"/>
    <n v="20"/>
    <n v="23.45445917429803"/>
  </r>
  <r>
    <s v="ORD10281"/>
    <x v="133"/>
    <x v="4"/>
    <x v="1"/>
    <n v="740.58"/>
    <n v="168.3"/>
    <n v="8"/>
    <n v="22.725431418617838"/>
  </r>
  <r>
    <s v="ORD10363"/>
    <x v="133"/>
    <x v="0"/>
    <x v="3"/>
    <n v="3384.04"/>
    <n v="607.76"/>
    <n v="8"/>
    <n v="17.959598586305127"/>
  </r>
  <r>
    <s v="ORD10425"/>
    <x v="134"/>
    <x v="2"/>
    <x v="2"/>
    <n v="894.83"/>
    <n v="287.26"/>
    <n v="3"/>
    <n v="32.102187007588029"/>
  </r>
  <r>
    <s v="ORD10032"/>
    <x v="135"/>
    <x v="4"/>
    <x v="4"/>
    <n v="2028.28"/>
    <n v="588.42999999999995"/>
    <n v="1"/>
    <n v="29.01128049381742"/>
  </r>
  <r>
    <s v="ORD10077"/>
    <x v="135"/>
    <x v="4"/>
    <x v="1"/>
    <n v="3440.01"/>
    <n v="283.70999999999998"/>
    <n v="3"/>
    <n v="8.2473597460472483"/>
  </r>
  <r>
    <s v="ORD10130"/>
    <x v="136"/>
    <x v="0"/>
    <x v="2"/>
    <n v="2253.12"/>
    <n v="713.25"/>
    <n v="13"/>
    <n v="31.656103536429487"/>
  </r>
  <r>
    <s v="ORD10189"/>
    <x v="136"/>
    <x v="4"/>
    <x v="2"/>
    <n v="2337.35"/>
    <n v="183.51"/>
    <n v="5"/>
    <n v="7.8511990074229363"/>
  </r>
  <r>
    <s v="ORD10168"/>
    <x v="137"/>
    <x v="1"/>
    <x v="0"/>
    <n v="3312.92"/>
    <n v="-117.07"/>
    <n v="11"/>
    <n v="-3.5337406276034433"/>
  </r>
  <r>
    <s v="ORD10059"/>
    <x v="138"/>
    <x v="2"/>
    <x v="4"/>
    <n v="908.59"/>
    <n v="147.31"/>
    <n v="14"/>
    <n v="16.213033381393146"/>
  </r>
  <r>
    <s v="ORD10141"/>
    <x v="138"/>
    <x v="0"/>
    <x v="4"/>
    <n v="1416.06"/>
    <n v="86.72"/>
    <n v="15"/>
    <n v="6.1240342923322455"/>
  </r>
  <r>
    <s v="ORD10088"/>
    <x v="139"/>
    <x v="0"/>
    <x v="2"/>
    <n v="548.44000000000005"/>
    <n v="23.06"/>
    <n v="14"/>
    <n v="4.2046531981620587"/>
  </r>
  <r>
    <s v="ORD10068"/>
    <x v="140"/>
    <x v="0"/>
    <x v="2"/>
    <n v="2813.51"/>
    <n v="431.95"/>
    <n v="7"/>
    <n v="15.352708893872776"/>
  </r>
  <r>
    <s v="ORD10256"/>
    <x v="141"/>
    <x v="0"/>
    <x v="3"/>
    <n v="212.54"/>
    <n v="43.6"/>
    <n v="3"/>
    <n v="20.513785640350051"/>
  </r>
  <r>
    <s v="ORD10362"/>
    <x v="142"/>
    <x v="1"/>
    <x v="2"/>
    <n v="1886.24"/>
    <n v="246.75"/>
    <n v="2"/>
    <n v="13.081580286707947"/>
  </r>
  <r>
    <s v="ORD10018"/>
    <x v="143"/>
    <x v="4"/>
    <x v="3"/>
    <n v="762.98"/>
    <n v="-3.46"/>
    <n v="12"/>
    <n v="-0.45348501926656004"/>
  </r>
  <r>
    <s v="ORD10485"/>
    <x v="144"/>
    <x v="1"/>
    <x v="3"/>
    <n v="3494.65"/>
    <n v="383.58"/>
    <n v="17"/>
    <n v="10.976206487058789"/>
  </r>
  <r>
    <s v="ORD10131"/>
    <x v="145"/>
    <x v="1"/>
    <x v="1"/>
    <n v="951.74"/>
    <n v="-35.950000000000003"/>
    <n v="14"/>
    <n v="-3.7772921175951422"/>
  </r>
  <r>
    <s v="ORD10359"/>
    <x v="146"/>
    <x v="3"/>
    <x v="3"/>
    <n v="4783.74"/>
    <n v="-192.2"/>
    <n v="10"/>
    <n v="-4.0177768858675433"/>
  </r>
  <r>
    <s v="ORD10456"/>
    <x v="147"/>
    <x v="4"/>
    <x v="0"/>
    <n v="4436.5"/>
    <n v="49.73"/>
    <n v="10"/>
    <n v="1.1209286599797137"/>
  </r>
  <r>
    <s v="ORD10114"/>
    <x v="148"/>
    <x v="2"/>
    <x v="3"/>
    <n v="2690.7"/>
    <n v="669.17"/>
    <n v="15"/>
    <n v="24.869736499795593"/>
  </r>
  <r>
    <s v="ORD10233"/>
    <x v="148"/>
    <x v="3"/>
    <x v="4"/>
    <n v="3790.87"/>
    <n v="357.73"/>
    <n v="16"/>
    <n v="9.4366200898474499"/>
  </r>
  <r>
    <s v="ORD10341"/>
    <x v="148"/>
    <x v="0"/>
    <x v="1"/>
    <n v="3391.08"/>
    <n v="1118.1600000000001"/>
    <n v="14"/>
    <n v="32.973565943593201"/>
  </r>
  <r>
    <s v="ORD10066"/>
    <x v="149"/>
    <x v="4"/>
    <x v="3"/>
    <n v="2092.64"/>
    <n v="268.98"/>
    <n v="3"/>
    <n v="12.85362030736295"/>
  </r>
  <r>
    <s v="ORD10024"/>
    <x v="150"/>
    <x v="3"/>
    <x v="1"/>
    <n v="1709.25"/>
    <n v="387.18"/>
    <n v="16"/>
    <n v="22.652040368582714"/>
  </r>
  <r>
    <s v="ORD10071"/>
    <x v="150"/>
    <x v="4"/>
    <x v="0"/>
    <n v="2675.38"/>
    <n v="-69.95"/>
    <n v="15"/>
    <n v="-2.6145818537927323"/>
  </r>
  <r>
    <s v="ORD10400"/>
    <x v="151"/>
    <x v="0"/>
    <x v="2"/>
    <n v="2934.1"/>
    <n v="432.85"/>
    <n v="11"/>
    <n v="14.752394260590984"/>
  </r>
  <r>
    <s v="ORD10413"/>
    <x v="152"/>
    <x v="1"/>
    <x v="0"/>
    <n v="4871.1899999999996"/>
    <n v="307.58999999999997"/>
    <n v="15"/>
    <n v="6.3144734654160484"/>
  </r>
  <r>
    <s v="ORD10028"/>
    <x v="153"/>
    <x v="3"/>
    <x v="3"/>
    <n v="4694.6499999999996"/>
    <n v="-163"/>
    <n v="1"/>
    <n v="-3.4720373190759699"/>
  </r>
  <r>
    <s v="ORD10350"/>
    <x v="153"/>
    <x v="0"/>
    <x v="2"/>
    <n v="1987.48"/>
    <n v="-58.4"/>
    <n v="12"/>
    <n v="-2.938394348622376"/>
  </r>
  <r>
    <s v="ORD10101"/>
    <x v="154"/>
    <x v="4"/>
    <x v="3"/>
    <n v="1319.32"/>
    <n v="141"/>
    <n v="19"/>
    <n v="10.687323772852682"/>
  </r>
  <r>
    <s v="ORD10346"/>
    <x v="155"/>
    <x v="1"/>
    <x v="3"/>
    <n v="2236.86"/>
    <n v="774.71"/>
    <n v="12"/>
    <n v="34.633817047110682"/>
  </r>
  <r>
    <s v="ORD10365"/>
    <x v="156"/>
    <x v="3"/>
    <x v="0"/>
    <n v="515.84"/>
    <n v="106.22"/>
    <n v="13"/>
    <n v="20.591656327543422"/>
  </r>
  <r>
    <s v="ORD10038"/>
    <x v="157"/>
    <x v="3"/>
    <x v="4"/>
    <n v="141.88999999999999"/>
    <n v="37.21"/>
    <n v="5"/>
    <n v="26.224540136725636"/>
  </r>
  <r>
    <s v="ORD10062"/>
    <x v="157"/>
    <x v="4"/>
    <x v="0"/>
    <n v="4495.84"/>
    <n v="1406.07"/>
    <n v="1"/>
    <n v="31.274911918573611"/>
  </r>
  <r>
    <s v="ORD10493"/>
    <x v="157"/>
    <x v="3"/>
    <x v="0"/>
    <n v="4002"/>
    <n v="667.75"/>
    <n v="3"/>
    <n v="16.685407296351823"/>
  </r>
  <r>
    <s v="ORD10480"/>
    <x v="158"/>
    <x v="0"/>
    <x v="0"/>
    <n v="3401.16"/>
    <n v="64.83"/>
    <n v="11"/>
    <n v="1.9061143845041102"/>
  </r>
  <r>
    <s v="ORD10155"/>
    <x v="159"/>
    <x v="0"/>
    <x v="2"/>
    <n v="4929.6400000000003"/>
    <n v="372.14"/>
    <n v="5"/>
    <n v="7.5490299494486406"/>
  </r>
  <r>
    <s v="ORD10150"/>
    <x v="160"/>
    <x v="2"/>
    <x v="2"/>
    <n v="4652.3999999999996"/>
    <n v="290.11"/>
    <n v="3"/>
    <n v="6.2357063021236359"/>
  </r>
  <r>
    <s v="ORD10133"/>
    <x v="161"/>
    <x v="0"/>
    <x v="3"/>
    <n v="281.83999999999997"/>
    <n v="9.56"/>
    <n v="7"/>
    <n v="3.3919954584161229"/>
  </r>
  <r>
    <s v="ORD10240"/>
    <x v="161"/>
    <x v="4"/>
    <x v="0"/>
    <n v="217.22"/>
    <n v="7.84"/>
    <n v="5"/>
    <n v="3.6092440843384588"/>
  </r>
  <r>
    <s v="ORD10254"/>
    <x v="161"/>
    <x v="2"/>
    <x v="3"/>
    <n v="2067.27"/>
    <n v="-36.9"/>
    <n v="12"/>
    <n v="-1.7849627769957479"/>
  </r>
  <r>
    <s v="ORD10316"/>
    <x v="161"/>
    <x v="4"/>
    <x v="2"/>
    <n v="2622.07"/>
    <n v="-119.73"/>
    <n v="15"/>
    <n v="-4.5662396503525837"/>
  </r>
  <r>
    <s v="ORD10343"/>
    <x v="161"/>
    <x v="2"/>
    <x v="3"/>
    <n v="437.7"/>
    <n v="57.83"/>
    <n v="14"/>
    <n v="13.212245830477496"/>
  </r>
  <r>
    <s v="ORD10016"/>
    <x v="162"/>
    <x v="2"/>
    <x v="1"/>
    <n v="335.27"/>
    <n v="116.16"/>
    <n v="12"/>
    <n v="34.64670265755958"/>
  </r>
  <r>
    <s v="ORD10048"/>
    <x v="162"/>
    <x v="4"/>
    <x v="2"/>
    <n v="2282.54"/>
    <n v="207.17"/>
    <n v="6"/>
    <n v="9.0762922007938514"/>
  </r>
  <r>
    <s v="ORD10381"/>
    <x v="163"/>
    <x v="1"/>
    <x v="1"/>
    <n v="2762.3"/>
    <n v="96.32"/>
    <n v="7"/>
    <n v="3.4869492813959373"/>
  </r>
  <r>
    <s v="ORD10225"/>
    <x v="164"/>
    <x v="3"/>
    <x v="4"/>
    <n v="806.72"/>
    <n v="122.31"/>
    <n v="11"/>
    <n v="15.16139428798096"/>
  </r>
  <r>
    <s v="ORD10270"/>
    <x v="164"/>
    <x v="4"/>
    <x v="3"/>
    <n v="3408.55"/>
    <n v="163.13999999999999"/>
    <n v="1"/>
    <n v="4.7861994103064349"/>
  </r>
  <r>
    <s v="ORD10457"/>
    <x v="164"/>
    <x v="3"/>
    <x v="0"/>
    <n v="4890.6899999999996"/>
    <n v="505.49"/>
    <n v="12"/>
    <n v="10.335760393727675"/>
  </r>
  <r>
    <s v="ORD10423"/>
    <x v="165"/>
    <x v="4"/>
    <x v="0"/>
    <n v="3424.1"/>
    <n v="67.36"/>
    <n v="13"/>
    <n v="1.9672322654128092"/>
  </r>
  <r>
    <s v="ORD10190"/>
    <x v="166"/>
    <x v="4"/>
    <x v="1"/>
    <n v="2885.34"/>
    <n v="160.78"/>
    <n v="6"/>
    <n v="5.5723069031725894"/>
  </r>
  <r>
    <s v="ORD10073"/>
    <x v="167"/>
    <x v="4"/>
    <x v="3"/>
    <n v="453.81"/>
    <n v="78.900000000000006"/>
    <n v="19"/>
    <n v="17.386130759568985"/>
  </r>
  <r>
    <s v="ORD10226"/>
    <x v="168"/>
    <x v="1"/>
    <x v="4"/>
    <n v="2029.72"/>
    <n v="584.79"/>
    <n v="16"/>
    <n v="28.811363143684844"/>
  </r>
  <r>
    <s v="ORD10083"/>
    <x v="169"/>
    <x v="3"/>
    <x v="1"/>
    <n v="3138.57"/>
    <n v="753.07"/>
    <n v="1"/>
    <n v="23.994048244901343"/>
  </r>
  <r>
    <s v="ORD10105"/>
    <x v="170"/>
    <x v="3"/>
    <x v="1"/>
    <n v="4721.32"/>
    <n v="9.68"/>
    <n v="11"/>
    <n v="0.20502740758940297"/>
  </r>
  <r>
    <s v="ORD10135"/>
    <x v="171"/>
    <x v="1"/>
    <x v="4"/>
    <n v="1462.97"/>
    <n v="451.71"/>
    <n v="15"/>
    <n v="30.876231228254845"/>
  </r>
  <r>
    <s v="ORD10395"/>
    <x v="171"/>
    <x v="1"/>
    <x v="1"/>
    <n v="1590.27"/>
    <n v="360.2"/>
    <n v="2"/>
    <n v="22.650241782841906"/>
  </r>
  <r>
    <s v="ORD10370"/>
    <x v="172"/>
    <x v="3"/>
    <x v="2"/>
    <n v="3284.88"/>
    <n v="310.56"/>
    <n v="11"/>
    <n v="9.4542266384160154"/>
  </r>
  <r>
    <s v="ORD10469"/>
    <x v="172"/>
    <x v="3"/>
    <x v="3"/>
    <n v="455.67"/>
    <n v="118.93"/>
    <n v="17"/>
    <n v="26.100028529418218"/>
  </r>
  <r>
    <s v="ORD10497"/>
    <x v="173"/>
    <x v="4"/>
    <x v="3"/>
    <n v="3246.92"/>
    <n v="479.89"/>
    <n v="18"/>
    <n v="14.779852906754709"/>
  </r>
  <r>
    <s v="ORD10001"/>
    <x v="174"/>
    <x v="1"/>
    <x v="1"/>
    <n v="4526.9799999999996"/>
    <n v="1469.28"/>
    <n v="19"/>
    <n v="32.456074469072099"/>
  </r>
  <r>
    <s v="ORD10285"/>
    <x v="175"/>
    <x v="1"/>
    <x v="0"/>
    <n v="1121.6199999999999"/>
    <n v="319.52999999999997"/>
    <n v="11"/>
    <n v="28.488258055312855"/>
  </r>
  <r>
    <s v="ORD10403"/>
    <x v="176"/>
    <x v="4"/>
    <x v="4"/>
    <n v="2761.47"/>
    <n v="375.52"/>
    <n v="8"/>
    <n v="13.598554393131195"/>
  </r>
  <r>
    <s v="ORD10103"/>
    <x v="177"/>
    <x v="0"/>
    <x v="2"/>
    <n v="4198.54"/>
    <n v="556.76"/>
    <n v="4"/>
    <n v="13.260800182920729"/>
  </r>
  <r>
    <s v="ORD10148"/>
    <x v="178"/>
    <x v="0"/>
    <x v="4"/>
    <n v="1425.8"/>
    <n v="-12.45"/>
    <n v="4"/>
    <n v="-0.87319399635292472"/>
  </r>
  <r>
    <s v="ORD10177"/>
    <x v="179"/>
    <x v="1"/>
    <x v="2"/>
    <n v="833.09"/>
    <n v="112.78"/>
    <n v="12"/>
    <n v="13.537552965465915"/>
  </r>
  <r>
    <s v="ORD10311"/>
    <x v="179"/>
    <x v="4"/>
    <x v="3"/>
    <n v="3248.87"/>
    <n v="946.72"/>
    <n v="11"/>
    <n v="29.139977900008311"/>
  </r>
  <r>
    <s v="ORD10374"/>
    <x v="180"/>
    <x v="0"/>
    <x v="4"/>
    <n v="633.67999999999995"/>
    <n v="195.65"/>
    <n v="5"/>
    <n v="30.8752051508647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5:B38" firstHeaderRow="1" firstDataRow="1" firstDataCol="1"/>
  <pivotFields count="8">
    <pivotField showAll="0"/>
    <pivotField axis="axisRow" numFmtId="165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3">
    <i>
      <x v="7"/>
    </i>
    <i>
      <x v="3"/>
    </i>
    <i>
      <x v="9"/>
    </i>
    <i>
      <x v="8"/>
    </i>
    <i>
      <x v="2"/>
    </i>
    <i>
      <x v="11"/>
    </i>
    <i>
      <x v="6"/>
    </i>
    <i>
      <x v="10"/>
    </i>
    <i>
      <x v="4"/>
    </i>
    <i>
      <x v="5"/>
    </i>
    <i>
      <x v="1"/>
    </i>
    <i>
      <x v="12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4:B20" firstHeaderRow="1" firstDataRow="1" firstDataCol="1"/>
  <pivotFields count="8"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8">
    <pivotField showAll="0"/>
    <pivotField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>
      <selection activeCell="C257" sqref="C257"/>
    </sheetView>
  </sheetViews>
  <sheetFormatPr defaultRowHeight="14.4" x14ac:dyDescent="0.3"/>
  <cols>
    <col min="1" max="1" width="9.6640625" bestFit="1" customWidth="1"/>
    <col min="2" max="2" width="10.5546875" style="1" bestFit="1" customWidth="1"/>
    <col min="3" max="3" width="6.88671875" bestFit="1" customWidth="1"/>
    <col min="4" max="4" width="15.21875" bestFit="1" customWidth="1"/>
    <col min="5" max="5" width="12" bestFit="1" customWidth="1"/>
    <col min="6" max="7" width="8" bestFit="1" customWidth="1"/>
    <col min="8" max="8" width="15.44140625" customWidth="1"/>
  </cols>
  <sheetData>
    <row r="1" spans="1:8" x14ac:dyDescent="0.3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274</v>
      </c>
    </row>
    <row r="2" spans="1:8" x14ac:dyDescent="0.3">
      <c r="A2" s="2" t="s">
        <v>160</v>
      </c>
      <c r="B2" s="1">
        <v>45292</v>
      </c>
      <c r="C2" s="2" t="s">
        <v>16</v>
      </c>
      <c r="D2" s="2" t="s">
        <v>10</v>
      </c>
      <c r="E2" s="2">
        <v>436.51</v>
      </c>
      <c r="F2" s="2">
        <v>69.180000000000007</v>
      </c>
      <c r="G2" s="2">
        <v>5</v>
      </c>
      <c r="H2">
        <f>(F2/E2)*100</f>
        <v>15.848434171038466</v>
      </c>
    </row>
    <row r="3" spans="1:8" x14ac:dyDescent="0.3">
      <c r="A3" s="2" t="s">
        <v>87</v>
      </c>
      <c r="B3" s="1">
        <v>45295</v>
      </c>
      <c r="C3" s="2" t="s">
        <v>8</v>
      </c>
      <c r="D3" s="2" t="s">
        <v>9</v>
      </c>
      <c r="E3" s="2">
        <v>387.96</v>
      </c>
      <c r="F3" s="2">
        <v>1.64</v>
      </c>
      <c r="G3" s="2">
        <v>7</v>
      </c>
      <c r="H3" s="2">
        <f>(F3/E3)*100</f>
        <v>0.42272399216414064</v>
      </c>
    </row>
    <row r="4" spans="1:8" x14ac:dyDescent="0.3">
      <c r="A4" s="2" t="s">
        <v>265</v>
      </c>
      <c r="B4" s="1">
        <v>45295</v>
      </c>
      <c r="C4" s="2" t="s">
        <v>16</v>
      </c>
      <c r="D4" s="2" t="s">
        <v>14</v>
      </c>
      <c r="E4" s="2">
        <v>938.11</v>
      </c>
      <c r="F4" s="2">
        <v>304.69</v>
      </c>
      <c r="G4" s="2">
        <v>3</v>
      </c>
      <c r="H4" s="2">
        <f>(F4/E4)*100</f>
        <v>32.479133577085847</v>
      </c>
    </row>
    <row r="5" spans="1:8" x14ac:dyDescent="0.3">
      <c r="A5" s="2" t="s">
        <v>75</v>
      </c>
      <c r="B5" s="1">
        <v>45296</v>
      </c>
      <c r="C5" s="2" t="s">
        <v>16</v>
      </c>
      <c r="D5" s="2" t="s">
        <v>12</v>
      </c>
      <c r="E5" s="2">
        <v>2327.06</v>
      </c>
      <c r="F5" s="2">
        <v>769.02</v>
      </c>
      <c r="G5" s="2">
        <v>10</v>
      </c>
      <c r="H5" s="2">
        <f>(F5/E5)*100</f>
        <v>33.046848813524363</v>
      </c>
    </row>
    <row r="6" spans="1:8" x14ac:dyDescent="0.3">
      <c r="A6" s="2" t="s">
        <v>96</v>
      </c>
      <c r="B6" s="1">
        <v>45296</v>
      </c>
      <c r="C6" s="2" t="s">
        <v>8</v>
      </c>
      <c r="D6" s="2" t="s">
        <v>10</v>
      </c>
      <c r="E6" s="2">
        <v>508.64</v>
      </c>
      <c r="F6" s="2">
        <v>53.95</v>
      </c>
      <c r="G6" s="2">
        <v>20</v>
      </c>
      <c r="H6" s="2">
        <f>(F6/E6)*100</f>
        <v>10.60671594841145</v>
      </c>
    </row>
    <row r="7" spans="1:8" x14ac:dyDescent="0.3">
      <c r="A7" s="2" t="s">
        <v>195</v>
      </c>
      <c r="B7" s="1">
        <v>45297</v>
      </c>
      <c r="C7" s="2" t="s">
        <v>11</v>
      </c>
      <c r="D7" s="2" t="s">
        <v>14</v>
      </c>
      <c r="E7" s="2">
        <v>4669.99</v>
      </c>
      <c r="F7" s="2">
        <v>418.95</v>
      </c>
      <c r="G7" s="2">
        <v>13</v>
      </c>
      <c r="H7" s="2">
        <f>(F7/E7)*100</f>
        <v>8.9711112871762033</v>
      </c>
    </row>
    <row r="8" spans="1:8" x14ac:dyDescent="0.3">
      <c r="A8" s="2" t="s">
        <v>182</v>
      </c>
      <c r="B8" s="1">
        <v>45298</v>
      </c>
      <c r="C8" s="2" t="s">
        <v>22</v>
      </c>
      <c r="D8" s="2" t="s">
        <v>17</v>
      </c>
      <c r="E8" s="2">
        <v>4067.7</v>
      </c>
      <c r="F8" s="2">
        <v>214.61</v>
      </c>
      <c r="G8" s="2">
        <v>9</v>
      </c>
      <c r="H8" s="2">
        <f>(F8/E8)*100</f>
        <v>5.2759544705853436</v>
      </c>
    </row>
    <row r="9" spans="1:8" x14ac:dyDescent="0.3">
      <c r="A9" s="2" t="s">
        <v>183</v>
      </c>
      <c r="B9" s="1">
        <v>45302</v>
      </c>
      <c r="C9" s="2" t="s">
        <v>19</v>
      </c>
      <c r="D9" s="2" t="s">
        <v>14</v>
      </c>
      <c r="E9" s="2">
        <v>2773.85</v>
      </c>
      <c r="F9" s="2">
        <v>92.32</v>
      </c>
      <c r="G9" s="2">
        <v>1</v>
      </c>
      <c r="H9" s="2">
        <f>(F9/E9)*100</f>
        <v>3.3282261117219747</v>
      </c>
    </row>
    <row r="10" spans="1:8" x14ac:dyDescent="0.3">
      <c r="A10" s="2" t="s">
        <v>64</v>
      </c>
      <c r="B10" s="1">
        <v>45304</v>
      </c>
      <c r="C10" s="2" t="s">
        <v>16</v>
      </c>
      <c r="D10" s="2" t="s">
        <v>10</v>
      </c>
      <c r="E10" s="2">
        <v>202.62</v>
      </c>
      <c r="F10" s="2">
        <v>57.71</v>
      </c>
      <c r="G10" s="2">
        <v>3</v>
      </c>
      <c r="H10" s="2">
        <f>(F10/E10)*100</f>
        <v>28.48188727667555</v>
      </c>
    </row>
    <row r="11" spans="1:8" x14ac:dyDescent="0.3">
      <c r="A11" s="2" t="s">
        <v>163</v>
      </c>
      <c r="B11" s="1">
        <v>45304</v>
      </c>
      <c r="C11" s="2" t="s">
        <v>16</v>
      </c>
      <c r="D11" s="2" t="s">
        <v>9</v>
      </c>
      <c r="E11" s="2">
        <v>2017.34</v>
      </c>
      <c r="F11" s="2">
        <v>483.18</v>
      </c>
      <c r="G11" s="2">
        <v>10</v>
      </c>
      <c r="H11" s="2">
        <f>(F11/E11)*100</f>
        <v>23.951341866021593</v>
      </c>
    </row>
    <row r="12" spans="1:8" x14ac:dyDescent="0.3">
      <c r="A12" s="2" t="s">
        <v>166</v>
      </c>
      <c r="B12" s="1">
        <v>45306</v>
      </c>
      <c r="C12" s="2" t="s">
        <v>22</v>
      </c>
      <c r="D12" s="2" t="s">
        <v>17</v>
      </c>
      <c r="E12" s="2">
        <v>3422.81</v>
      </c>
      <c r="F12" s="2">
        <v>519.79</v>
      </c>
      <c r="G12" s="2">
        <v>6</v>
      </c>
      <c r="H12" s="2">
        <f>(F12/E12)*100</f>
        <v>15.186060575959518</v>
      </c>
    </row>
    <row r="13" spans="1:8" x14ac:dyDescent="0.3">
      <c r="A13" s="2" t="s">
        <v>256</v>
      </c>
      <c r="B13" s="1">
        <v>45306</v>
      </c>
      <c r="C13" s="2" t="s">
        <v>8</v>
      </c>
      <c r="D13" s="2" t="s">
        <v>14</v>
      </c>
      <c r="E13" s="2">
        <v>3622.97</v>
      </c>
      <c r="F13" s="2">
        <v>-47.06</v>
      </c>
      <c r="G13" s="2">
        <v>14</v>
      </c>
      <c r="H13" s="2">
        <f>(F13/E13)*100</f>
        <v>-1.2989342997595896</v>
      </c>
    </row>
    <row r="14" spans="1:8" x14ac:dyDescent="0.3">
      <c r="A14" s="2" t="s">
        <v>272</v>
      </c>
      <c r="B14" s="1">
        <v>45311</v>
      </c>
      <c r="C14" s="2" t="s">
        <v>8</v>
      </c>
      <c r="D14" s="2" t="s">
        <v>9</v>
      </c>
      <c r="E14" s="2">
        <v>2303.09</v>
      </c>
      <c r="F14" s="2">
        <v>790.31</v>
      </c>
      <c r="G14" s="2">
        <v>8</v>
      </c>
      <c r="H14" s="2">
        <f>(F14/E14)*100</f>
        <v>34.315202619090002</v>
      </c>
    </row>
    <row r="15" spans="1:8" x14ac:dyDescent="0.3">
      <c r="A15" s="2" t="s">
        <v>216</v>
      </c>
      <c r="B15" s="1">
        <v>45312</v>
      </c>
      <c r="C15" s="2" t="s">
        <v>16</v>
      </c>
      <c r="D15" s="2" t="s">
        <v>17</v>
      </c>
      <c r="E15" s="2">
        <v>1448.59</v>
      </c>
      <c r="F15" s="2">
        <v>343.91</v>
      </c>
      <c r="G15" s="2">
        <v>2</v>
      </c>
      <c r="H15" s="2">
        <f>(F15/E15)*100</f>
        <v>23.74101712699936</v>
      </c>
    </row>
    <row r="16" spans="1:8" x14ac:dyDescent="0.3">
      <c r="A16" s="2" t="s">
        <v>149</v>
      </c>
      <c r="B16" s="1">
        <v>45314</v>
      </c>
      <c r="C16" s="2" t="s">
        <v>11</v>
      </c>
      <c r="D16" s="2" t="s">
        <v>9</v>
      </c>
      <c r="E16" s="2">
        <v>344.68</v>
      </c>
      <c r="F16" s="2">
        <v>33.049999999999997</v>
      </c>
      <c r="G16" s="2">
        <v>2</v>
      </c>
      <c r="H16" s="2">
        <f>(F16/E16)*100</f>
        <v>9.5886039224788195</v>
      </c>
    </row>
    <row r="17" spans="1:8" x14ac:dyDescent="0.3">
      <c r="A17" s="2" t="s">
        <v>137</v>
      </c>
      <c r="B17" s="1">
        <v>45317</v>
      </c>
      <c r="C17" s="2" t="s">
        <v>16</v>
      </c>
      <c r="D17" s="2" t="s">
        <v>10</v>
      </c>
      <c r="E17" s="2">
        <v>4516.87</v>
      </c>
      <c r="F17" s="2">
        <v>21.15</v>
      </c>
      <c r="G17" s="2">
        <v>11</v>
      </c>
      <c r="H17" s="2">
        <f>(F17/E17)*100</f>
        <v>0.46824460301049176</v>
      </c>
    </row>
    <row r="18" spans="1:8" x14ac:dyDescent="0.3">
      <c r="A18" s="2" t="s">
        <v>55</v>
      </c>
      <c r="B18" s="1">
        <v>45319</v>
      </c>
      <c r="C18" s="2" t="s">
        <v>11</v>
      </c>
      <c r="D18" s="2" t="s">
        <v>12</v>
      </c>
      <c r="E18" s="2">
        <v>3235.43</v>
      </c>
      <c r="F18" s="2">
        <v>154.44999999999999</v>
      </c>
      <c r="G18" s="2">
        <v>2</v>
      </c>
      <c r="H18" s="2">
        <f>(F18/E18)*100</f>
        <v>4.7737085951480944</v>
      </c>
    </row>
    <row r="19" spans="1:8" x14ac:dyDescent="0.3">
      <c r="A19" s="2" t="s">
        <v>167</v>
      </c>
      <c r="B19" s="1">
        <v>45320</v>
      </c>
      <c r="C19" s="2" t="s">
        <v>16</v>
      </c>
      <c r="D19" s="2" t="s">
        <v>10</v>
      </c>
      <c r="E19" s="2">
        <v>2841.49</v>
      </c>
      <c r="F19" s="2">
        <v>575.94000000000005</v>
      </c>
      <c r="G19" s="2">
        <v>8</v>
      </c>
      <c r="H19" s="2">
        <f>(F19/E19)*100</f>
        <v>20.268943406452252</v>
      </c>
    </row>
    <row r="20" spans="1:8" x14ac:dyDescent="0.3">
      <c r="A20" s="2" t="s">
        <v>89</v>
      </c>
      <c r="B20" s="1">
        <v>45325</v>
      </c>
      <c r="C20" s="2" t="s">
        <v>22</v>
      </c>
      <c r="D20" s="2" t="s">
        <v>12</v>
      </c>
      <c r="E20" s="2">
        <v>4293.66</v>
      </c>
      <c r="F20" s="2">
        <v>174.99</v>
      </c>
      <c r="G20" s="2">
        <v>2</v>
      </c>
      <c r="H20" s="2">
        <f>(F20/E20)*100</f>
        <v>4.0755439415323993</v>
      </c>
    </row>
    <row r="21" spans="1:8" x14ac:dyDescent="0.3">
      <c r="A21" s="2" t="s">
        <v>220</v>
      </c>
      <c r="B21" s="1">
        <v>45326</v>
      </c>
      <c r="C21" s="2" t="s">
        <v>8</v>
      </c>
      <c r="D21" s="2" t="s">
        <v>12</v>
      </c>
      <c r="E21" s="2">
        <v>933.85</v>
      </c>
      <c r="F21" s="2">
        <v>216.04</v>
      </c>
      <c r="G21" s="2">
        <v>19</v>
      </c>
      <c r="H21" s="2">
        <f>(F21/E21)*100</f>
        <v>23.134336349520797</v>
      </c>
    </row>
    <row r="22" spans="1:8" x14ac:dyDescent="0.3">
      <c r="A22" s="2" t="s">
        <v>122</v>
      </c>
      <c r="B22" s="1">
        <v>45327</v>
      </c>
      <c r="C22" s="2" t="s">
        <v>8</v>
      </c>
      <c r="D22" s="2" t="s">
        <v>9</v>
      </c>
      <c r="E22" s="2">
        <v>4066.92</v>
      </c>
      <c r="F22" s="2">
        <v>691.78</v>
      </c>
      <c r="G22" s="2">
        <v>5</v>
      </c>
      <c r="H22" s="2">
        <f>(F22/E22)*100</f>
        <v>17.009923971949288</v>
      </c>
    </row>
    <row r="23" spans="1:8" x14ac:dyDescent="0.3">
      <c r="A23" s="2" t="s">
        <v>174</v>
      </c>
      <c r="B23" s="1">
        <v>45327</v>
      </c>
      <c r="C23" s="2" t="s">
        <v>11</v>
      </c>
      <c r="D23" s="2" t="s">
        <v>17</v>
      </c>
      <c r="E23" s="2">
        <v>4615.46</v>
      </c>
      <c r="F23" s="2">
        <v>121.29</v>
      </c>
      <c r="G23" s="2">
        <v>9</v>
      </c>
      <c r="H23" s="2">
        <f>(F23/E23)*100</f>
        <v>2.627907077517734</v>
      </c>
    </row>
    <row r="24" spans="1:8" x14ac:dyDescent="0.3">
      <c r="A24" s="2" t="s">
        <v>88</v>
      </c>
      <c r="B24" s="1">
        <v>45328</v>
      </c>
      <c r="C24" s="2" t="s">
        <v>22</v>
      </c>
      <c r="D24" s="2" t="s">
        <v>17</v>
      </c>
      <c r="E24" s="2">
        <v>2089.83</v>
      </c>
      <c r="F24" s="2">
        <v>158.91999999999999</v>
      </c>
      <c r="G24" s="2">
        <v>4</v>
      </c>
      <c r="H24" s="2">
        <f>(F24/E24)*100</f>
        <v>7.6044462946746858</v>
      </c>
    </row>
    <row r="25" spans="1:8" x14ac:dyDescent="0.3">
      <c r="A25" s="2" t="s">
        <v>141</v>
      </c>
      <c r="B25" s="1">
        <v>45329</v>
      </c>
      <c r="C25" s="2" t="s">
        <v>19</v>
      </c>
      <c r="D25" s="2" t="s">
        <v>17</v>
      </c>
      <c r="E25" s="2">
        <v>2646.35</v>
      </c>
      <c r="F25" s="2">
        <v>668.89</v>
      </c>
      <c r="G25" s="2">
        <v>16</v>
      </c>
      <c r="H25" s="2">
        <f>(F25/E25)*100</f>
        <v>25.27594611445954</v>
      </c>
    </row>
    <row r="26" spans="1:8" x14ac:dyDescent="0.3">
      <c r="A26" s="2" t="s">
        <v>189</v>
      </c>
      <c r="B26" s="1">
        <v>45331</v>
      </c>
      <c r="C26" s="2" t="s">
        <v>8</v>
      </c>
      <c r="D26" s="2" t="s">
        <v>17</v>
      </c>
      <c r="E26" s="2">
        <v>1574.28</v>
      </c>
      <c r="F26" s="2">
        <v>405.43</v>
      </c>
      <c r="G26" s="2">
        <v>11</v>
      </c>
      <c r="H26" s="2">
        <f>(F26/E26)*100</f>
        <v>25.753360266280463</v>
      </c>
    </row>
    <row r="27" spans="1:8" x14ac:dyDescent="0.3">
      <c r="A27" s="2" t="s">
        <v>269</v>
      </c>
      <c r="B27" s="1">
        <v>45331</v>
      </c>
      <c r="C27" s="2" t="s">
        <v>16</v>
      </c>
      <c r="D27" s="2" t="s">
        <v>9</v>
      </c>
      <c r="E27" s="2">
        <v>2334.54</v>
      </c>
      <c r="F27" s="2">
        <v>760.3</v>
      </c>
      <c r="G27" s="2">
        <v>13</v>
      </c>
      <c r="H27" s="2">
        <f>(F27/E27)*100</f>
        <v>32.567443693404272</v>
      </c>
    </row>
    <row r="28" spans="1:8" x14ac:dyDescent="0.3">
      <c r="A28" s="2" t="s">
        <v>162</v>
      </c>
      <c r="B28" s="1">
        <v>45332</v>
      </c>
      <c r="C28" s="2" t="s">
        <v>11</v>
      </c>
      <c r="D28" s="2" t="s">
        <v>14</v>
      </c>
      <c r="E28" s="2">
        <v>1375.86</v>
      </c>
      <c r="F28" s="2">
        <v>374.46</v>
      </c>
      <c r="G28" s="2">
        <v>18</v>
      </c>
      <c r="H28" s="2">
        <f>(F28/E28)*100</f>
        <v>27.216431904408878</v>
      </c>
    </row>
    <row r="29" spans="1:8" x14ac:dyDescent="0.3">
      <c r="A29" s="2" t="s">
        <v>222</v>
      </c>
      <c r="B29" s="1">
        <v>45332</v>
      </c>
      <c r="C29" s="2" t="s">
        <v>22</v>
      </c>
      <c r="D29" s="2" t="s">
        <v>17</v>
      </c>
      <c r="E29" s="2">
        <v>309.08</v>
      </c>
      <c r="F29" s="2">
        <v>75.06</v>
      </c>
      <c r="G29" s="2">
        <v>5</v>
      </c>
      <c r="H29" s="2">
        <f>(F29/E29)*100</f>
        <v>24.284974763815196</v>
      </c>
    </row>
    <row r="30" spans="1:8" x14ac:dyDescent="0.3">
      <c r="A30" s="2" t="s">
        <v>61</v>
      </c>
      <c r="B30" s="1">
        <v>45334</v>
      </c>
      <c r="C30" s="2" t="s">
        <v>19</v>
      </c>
      <c r="D30" s="2" t="s">
        <v>9</v>
      </c>
      <c r="E30" s="2">
        <v>2594.37</v>
      </c>
      <c r="F30" s="2">
        <v>265.35000000000002</v>
      </c>
      <c r="G30" s="2">
        <v>10</v>
      </c>
      <c r="H30" s="2">
        <f>(F30/E30)*100</f>
        <v>10.227916604031037</v>
      </c>
    </row>
    <row r="31" spans="1:8" x14ac:dyDescent="0.3">
      <c r="A31" s="2" t="s">
        <v>200</v>
      </c>
      <c r="B31" s="1">
        <v>45334</v>
      </c>
      <c r="C31" s="2" t="s">
        <v>19</v>
      </c>
      <c r="D31" s="2" t="s">
        <v>12</v>
      </c>
      <c r="E31" s="2">
        <v>2802.63</v>
      </c>
      <c r="F31" s="2">
        <v>190.17</v>
      </c>
      <c r="G31" s="2">
        <v>19</v>
      </c>
      <c r="H31" s="2">
        <f>(F31/E31)*100</f>
        <v>6.7854122734717031</v>
      </c>
    </row>
    <row r="32" spans="1:8" x14ac:dyDescent="0.3">
      <c r="A32" s="2" t="s">
        <v>129</v>
      </c>
      <c r="B32" s="1">
        <v>45335</v>
      </c>
      <c r="C32" s="2" t="s">
        <v>22</v>
      </c>
      <c r="D32" s="2" t="s">
        <v>12</v>
      </c>
      <c r="E32" s="2">
        <v>1943.76</v>
      </c>
      <c r="F32" s="2">
        <v>182.53</v>
      </c>
      <c r="G32" s="2">
        <v>8</v>
      </c>
      <c r="H32" s="2">
        <f>(F32/E32)*100</f>
        <v>9.3905626208996988</v>
      </c>
    </row>
    <row r="33" spans="1:8" x14ac:dyDescent="0.3">
      <c r="A33" s="2" t="s">
        <v>101</v>
      </c>
      <c r="B33" s="1">
        <v>45339</v>
      </c>
      <c r="C33" s="2" t="s">
        <v>22</v>
      </c>
      <c r="D33" s="2" t="s">
        <v>10</v>
      </c>
      <c r="E33" s="2">
        <v>4855.05</v>
      </c>
      <c r="F33" s="2">
        <v>798.5</v>
      </c>
      <c r="G33" s="2">
        <v>8</v>
      </c>
      <c r="H33" s="2">
        <f>(F33/E33)*100</f>
        <v>16.446792515010145</v>
      </c>
    </row>
    <row r="34" spans="1:8" x14ac:dyDescent="0.3">
      <c r="A34" s="2" t="s">
        <v>150</v>
      </c>
      <c r="B34" s="1">
        <v>45340</v>
      </c>
      <c r="C34" s="2" t="s">
        <v>19</v>
      </c>
      <c r="D34" s="2" t="s">
        <v>12</v>
      </c>
      <c r="E34" s="2">
        <v>2416.94</v>
      </c>
      <c r="F34" s="2">
        <v>540.12</v>
      </c>
      <c r="G34" s="2">
        <v>18</v>
      </c>
      <c r="H34" s="2">
        <f>(F34/E34)*100</f>
        <v>22.34726555065496</v>
      </c>
    </row>
    <row r="35" spans="1:8" x14ac:dyDescent="0.3">
      <c r="A35" s="2" t="s">
        <v>257</v>
      </c>
      <c r="B35" s="1">
        <v>45340</v>
      </c>
      <c r="C35" s="2" t="s">
        <v>16</v>
      </c>
      <c r="D35" s="2" t="s">
        <v>12</v>
      </c>
      <c r="E35" s="2">
        <v>3241.76</v>
      </c>
      <c r="F35" s="2">
        <v>680.9</v>
      </c>
      <c r="G35" s="2">
        <v>14</v>
      </c>
      <c r="H35" s="2">
        <f>(F35/E35)*100</f>
        <v>21.004022506292877</v>
      </c>
    </row>
    <row r="36" spans="1:8" x14ac:dyDescent="0.3">
      <c r="A36" s="2" t="s">
        <v>199</v>
      </c>
      <c r="B36" s="1">
        <v>45343</v>
      </c>
      <c r="C36" s="2" t="s">
        <v>16</v>
      </c>
      <c r="D36" s="2" t="s">
        <v>14</v>
      </c>
      <c r="E36" s="2">
        <v>4055.75</v>
      </c>
      <c r="F36" s="2">
        <v>830.27</v>
      </c>
      <c r="G36" s="2">
        <v>4</v>
      </c>
      <c r="H36" s="2">
        <f>(F36/E36)*100</f>
        <v>20.471429452012575</v>
      </c>
    </row>
    <row r="37" spans="1:8" x14ac:dyDescent="0.3">
      <c r="A37" s="2" t="s">
        <v>78</v>
      </c>
      <c r="B37" s="1">
        <v>45344</v>
      </c>
      <c r="C37" s="2" t="s">
        <v>8</v>
      </c>
      <c r="D37" s="2" t="s">
        <v>9</v>
      </c>
      <c r="E37" s="2">
        <v>1531.99</v>
      </c>
      <c r="F37" s="2">
        <v>116.97</v>
      </c>
      <c r="G37" s="2">
        <v>3</v>
      </c>
      <c r="H37" s="2">
        <f>(F37/E37)*100</f>
        <v>7.6351673313794475</v>
      </c>
    </row>
    <row r="38" spans="1:8" x14ac:dyDescent="0.3">
      <c r="A38" s="2" t="s">
        <v>85</v>
      </c>
      <c r="B38" s="1">
        <v>45346</v>
      </c>
      <c r="C38" s="2" t="s">
        <v>8</v>
      </c>
      <c r="D38" s="2" t="s">
        <v>14</v>
      </c>
      <c r="E38" s="2">
        <v>3493.45</v>
      </c>
      <c r="F38" s="2">
        <v>783.04</v>
      </c>
      <c r="G38" s="2">
        <v>6</v>
      </c>
      <c r="H38" s="2">
        <f>(F38/E38)*100</f>
        <v>22.414518599092588</v>
      </c>
    </row>
    <row r="39" spans="1:8" x14ac:dyDescent="0.3">
      <c r="A39" s="2" t="s">
        <v>170</v>
      </c>
      <c r="B39" s="1">
        <v>45346</v>
      </c>
      <c r="C39" s="2" t="s">
        <v>11</v>
      </c>
      <c r="D39" s="2" t="s">
        <v>10</v>
      </c>
      <c r="E39" s="2">
        <v>470.56</v>
      </c>
      <c r="F39" s="2">
        <v>75.19</v>
      </c>
      <c r="G39" s="2">
        <v>5</v>
      </c>
      <c r="H39" s="2">
        <f>(F39/E39)*100</f>
        <v>15.978833730023801</v>
      </c>
    </row>
    <row r="40" spans="1:8" x14ac:dyDescent="0.3">
      <c r="A40" s="2" t="s">
        <v>117</v>
      </c>
      <c r="B40" s="1">
        <v>45348</v>
      </c>
      <c r="C40" s="2" t="s">
        <v>11</v>
      </c>
      <c r="D40" s="2" t="s">
        <v>9</v>
      </c>
      <c r="E40" s="2">
        <v>3266.54</v>
      </c>
      <c r="F40" s="2">
        <v>96.76</v>
      </c>
      <c r="G40" s="2">
        <v>5</v>
      </c>
      <c r="H40" s="2">
        <f>(F40/E40)*100</f>
        <v>2.9621556754241491</v>
      </c>
    </row>
    <row r="41" spans="1:8" x14ac:dyDescent="0.3">
      <c r="A41" s="2" t="s">
        <v>169</v>
      </c>
      <c r="B41" s="1">
        <v>45348</v>
      </c>
      <c r="C41" s="2" t="s">
        <v>11</v>
      </c>
      <c r="D41" s="2" t="s">
        <v>10</v>
      </c>
      <c r="E41" s="2">
        <v>4964.66</v>
      </c>
      <c r="F41" s="2">
        <v>38</v>
      </c>
      <c r="G41" s="2">
        <v>1</v>
      </c>
      <c r="H41" s="2">
        <f>(F41/E41)*100</f>
        <v>0.76540991729544428</v>
      </c>
    </row>
    <row r="42" spans="1:8" x14ac:dyDescent="0.3">
      <c r="A42" s="2" t="s">
        <v>206</v>
      </c>
      <c r="B42" s="1">
        <v>45349</v>
      </c>
      <c r="C42" s="2" t="s">
        <v>19</v>
      </c>
      <c r="D42" s="2" t="s">
        <v>10</v>
      </c>
      <c r="E42" s="2">
        <v>359.33</v>
      </c>
      <c r="F42" s="2">
        <v>-4.8899999999999997</v>
      </c>
      <c r="G42" s="2">
        <v>20</v>
      </c>
      <c r="H42" s="2">
        <f>(F42/E42)*100</f>
        <v>-1.3608660562713939</v>
      </c>
    </row>
    <row r="43" spans="1:8" x14ac:dyDescent="0.3">
      <c r="A43" s="2" t="s">
        <v>112</v>
      </c>
      <c r="B43" s="1">
        <v>45354</v>
      </c>
      <c r="C43" s="2" t="s">
        <v>19</v>
      </c>
      <c r="D43" s="2" t="s">
        <v>12</v>
      </c>
      <c r="E43" s="2">
        <v>2129.83</v>
      </c>
      <c r="F43" s="2">
        <v>310.44</v>
      </c>
      <c r="G43" s="2">
        <v>15</v>
      </c>
      <c r="H43" s="2">
        <f>(F43/E43)*100</f>
        <v>14.5758112149796</v>
      </c>
    </row>
    <row r="44" spans="1:8" x14ac:dyDescent="0.3">
      <c r="A44" s="2" t="s">
        <v>126</v>
      </c>
      <c r="B44" s="1">
        <v>45356</v>
      </c>
      <c r="C44" s="2" t="s">
        <v>11</v>
      </c>
      <c r="D44" s="2" t="s">
        <v>10</v>
      </c>
      <c r="E44" s="2">
        <v>4435.34</v>
      </c>
      <c r="F44" s="2">
        <v>916.39</v>
      </c>
      <c r="G44" s="2">
        <v>10</v>
      </c>
      <c r="H44" s="2">
        <f>(F44/E44)*100</f>
        <v>20.661099261837872</v>
      </c>
    </row>
    <row r="45" spans="1:8" x14ac:dyDescent="0.3">
      <c r="A45" s="2" t="s">
        <v>215</v>
      </c>
      <c r="B45" s="1">
        <v>45356</v>
      </c>
      <c r="C45" s="2" t="s">
        <v>11</v>
      </c>
      <c r="D45" s="2" t="s">
        <v>14</v>
      </c>
      <c r="E45" s="2">
        <v>3690.05</v>
      </c>
      <c r="F45" s="2">
        <v>826.41</v>
      </c>
      <c r="G45" s="2">
        <v>13</v>
      </c>
      <c r="H45" s="2">
        <f>(F45/E45)*100</f>
        <v>22.395631495508191</v>
      </c>
    </row>
    <row r="46" spans="1:8" x14ac:dyDescent="0.3">
      <c r="A46" s="2" t="s">
        <v>98</v>
      </c>
      <c r="B46" s="1">
        <v>45358</v>
      </c>
      <c r="C46" s="2" t="s">
        <v>16</v>
      </c>
      <c r="D46" s="2" t="s">
        <v>10</v>
      </c>
      <c r="E46" s="2">
        <v>662.88</v>
      </c>
      <c r="F46" s="2">
        <v>121.5</v>
      </c>
      <c r="G46" s="2">
        <v>12</v>
      </c>
      <c r="H46" s="2">
        <f>(F46/E46)*100</f>
        <v>18.329109341057205</v>
      </c>
    </row>
    <row r="47" spans="1:8" x14ac:dyDescent="0.3">
      <c r="A47" s="2" t="s">
        <v>244</v>
      </c>
      <c r="B47" s="1">
        <v>45360</v>
      </c>
      <c r="C47" s="2" t="s">
        <v>19</v>
      </c>
      <c r="D47" s="2" t="s">
        <v>17</v>
      </c>
      <c r="E47" s="2">
        <v>2431.9299999999998</v>
      </c>
      <c r="F47" s="2">
        <v>668.28</v>
      </c>
      <c r="G47" s="2">
        <v>4</v>
      </c>
      <c r="H47" s="2">
        <f>(F47/E47)*100</f>
        <v>27.479409357999611</v>
      </c>
    </row>
    <row r="48" spans="1:8" x14ac:dyDescent="0.3">
      <c r="A48" s="2" t="s">
        <v>44</v>
      </c>
      <c r="B48" s="1">
        <v>45361</v>
      </c>
      <c r="C48" s="2" t="s">
        <v>8</v>
      </c>
      <c r="D48" s="2" t="s">
        <v>9</v>
      </c>
      <c r="E48" s="2">
        <v>1324.15</v>
      </c>
      <c r="F48" s="2">
        <v>335.97</v>
      </c>
      <c r="G48" s="2">
        <v>15</v>
      </c>
      <c r="H48" s="2">
        <f>(F48/E48)*100</f>
        <v>25.37250311520598</v>
      </c>
    </row>
    <row r="49" spans="1:8" x14ac:dyDescent="0.3">
      <c r="A49" s="2" t="s">
        <v>271</v>
      </c>
      <c r="B49" s="1">
        <v>45362</v>
      </c>
      <c r="C49" s="2" t="s">
        <v>16</v>
      </c>
      <c r="D49" s="2" t="s">
        <v>9</v>
      </c>
      <c r="E49" s="2">
        <v>806.83</v>
      </c>
      <c r="F49" s="2">
        <v>250.66</v>
      </c>
      <c r="G49" s="2">
        <v>18</v>
      </c>
      <c r="H49" s="2">
        <f>(F49/E49)*100</f>
        <v>31.067263240087751</v>
      </c>
    </row>
    <row r="50" spans="1:8" x14ac:dyDescent="0.3">
      <c r="A50" s="2" t="s">
        <v>127</v>
      </c>
      <c r="B50" s="1">
        <v>45363</v>
      </c>
      <c r="C50" s="2" t="s">
        <v>22</v>
      </c>
      <c r="D50" s="2" t="s">
        <v>12</v>
      </c>
      <c r="E50" s="2">
        <v>4980.08</v>
      </c>
      <c r="F50" s="2">
        <v>91.12</v>
      </c>
      <c r="G50" s="2">
        <v>20</v>
      </c>
      <c r="H50" s="2">
        <f>(F50/E50)*100</f>
        <v>1.8296894828998731</v>
      </c>
    </row>
    <row r="51" spans="1:8" x14ac:dyDescent="0.3">
      <c r="A51" s="2" t="s">
        <v>172</v>
      </c>
      <c r="B51" s="1">
        <v>45363</v>
      </c>
      <c r="C51" s="2" t="s">
        <v>22</v>
      </c>
      <c r="D51" s="2" t="s">
        <v>10</v>
      </c>
      <c r="E51" s="2">
        <v>1802.18</v>
      </c>
      <c r="F51" s="2">
        <v>-88.81</v>
      </c>
      <c r="G51" s="2">
        <v>17</v>
      </c>
      <c r="H51" s="2">
        <f>(F51/E51)*100</f>
        <v>-4.9279206294598765</v>
      </c>
    </row>
    <row r="52" spans="1:8" x14ac:dyDescent="0.3">
      <c r="A52" s="2" t="s">
        <v>230</v>
      </c>
      <c r="B52" s="1">
        <v>45364</v>
      </c>
      <c r="C52" s="2" t="s">
        <v>8</v>
      </c>
      <c r="D52" s="2" t="s">
        <v>14</v>
      </c>
      <c r="E52" s="2">
        <v>2226.34</v>
      </c>
      <c r="F52" s="2">
        <v>-55.17</v>
      </c>
      <c r="G52" s="2">
        <v>7</v>
      </c>
      <c r="H52" s="2">
        <f>(F52/E52)*100</f>
        <v>-2.4780581582327947</v>
      </c>
    </row>
    <row r="53" spans="1:8" x14ac:dyDescent="0.3">
      <c r="A53" s="2" t="s">
        <v>79</v>
      </c>
      <c r="B53" s="1">
        <v>45366</v>
      </c>
      <c r="C53" s="2" t="s">
        <v>8</v>
      </c>
      <c r="D53" s="2" t="s">
        <v>12</v>
      </c>
      <c r="E53" s="2">
        <v>334.89</v>
      </c>
      <c r="F53" s="2">
        <v>30.52</v>
      </c>
      <c r="G53" s="2">
        <v>4</v>
      </c>
      <c r="H53" s="2">
        <f>(F53/E53)*100</f>
        <v>9.1134402341067222</v>
      </c>
    </row>
    <row r="54" spans="1:8" x14ac:dyDescent="0.3">
      <c r="A54" s="2" t="s">
        <v>153</v>
      </c>
      <c r="B54" s="1">
        <v>45366</v>
      </c>
      <c r="C54" s="2" t="s">
        <v>8</v>
      </c>
      <c r="D54" s="2" t="s">
        <v>14</v>
      </c>
      <c r="E54" s="2">
        <v>1969.19</v>
      </c>
      <c r="F54" s="2">
        <v>501.61</v>
      </c>
      <c r="G54" s="2">
        <v>5</v>
      </c>
      <c r="H54" s="2">
        <f>(F54/E54)*100</f>
        <v>25.4729101813436</v>
      </c>
    </row>
    <row r="55" spans="1:8" x14ac:dyDescent="0.3">
      <c r="A55" s="2" t="s">
        <v>250</v>
      </c>
      <c r="B55" s="1">
        <v>45366</v>
      </c>
      <c r="C55" s="2" t="s">
        <v>22</v>
      </c>
      <c r="D55" s="2" t="s">
        <v>9</v>
      </c>
      <c r="E55" s="2">
        <v>324.27</v>
      </c>
      <c r="F55" s="2">
        <v>11.22</v>
      </c>
      <c r="G55" s="2">
        <v>16</v>
      </c>
      <c r="H55" s="2">
        <f>(F55/E55)*100</f>
        <v>3.4600795633268575</v>
      </c>
    </row>
    <row r="56" spans="1:8" x14ac:dyDescent="0.3">
      <c r="A56" s="2" t="s">
        <v>27</v>
      </c>
      <c r="B56" s="1">
        <v>45367</v>
      </c>
      <c r="C56" s="2" t="s">
        <v>22</v>
      </c>
      <c r="D56" s="2" t="s">
        <v>14</v>
      </c>
      <c r="E56" s="2">
        <v>3794.58</v>
      </c>
      <c r="F56" s="2">
        <v>369.09</v>
      </c>
      <c r="G56" s="2">
        <v>7</v>
      </c>
      <c r="H56" s="2">
        <f>(F56/E56)*100</f>
        <v>9.7267681798776149</v>
      </c>
    </row>
    <row r="57" spans="1:8" x14ac:dyDescent="0.3">
      <c r="A57" s="2" t="s">
        <v>156</v>
      </c>
      <c r="B57" s="1">
        <v>45367</v>
      </c>
      <c r="C57" s="2" t="s">
        <v>8</v>
      </c>
      <c r="D57" s="2" t="s">
        <v>14</v>
      </c>
      <c r="E57" s="2">
        <v>4632.17</v>
      </c>
      <c r="F57" s="2">
        <v>-36.130000000000003</v>
      </c>
      <c r="G57" s="2">
        <v>11</v>
      </c>
      <c r="H57" s="2">
        <f>(F57/E57)*100</f>
        <v>-0.77998000936925893</v>
      </c>
    </row>
    <row r="58" spans="1:8" x14ac:dyDescent="0.3">
      <c r="A58" s="2" t="s">
        <v>53</v>
      </c>
      <c r="B58" s="1">
        <v>45368</v>
      </c>
      <c r="C58" s="2" t="s">
        <v>11</v>
      </c>
      <c r="D58" s="2" t="s">
        <v>9</v>
      </c>
      <c r="E58" s="2">
        <v>4912.6000000000004</v>
      </c>
      <c r="F58" s="2">
        <v>1027.42</v>
      </c>
      <c r="G58" s="2">
        <v>1</v>
      </c>
      <c r="H58" s="2">
        <f>(F58/E58)*100</f>
        <v>20.913976305825834</v>
      </c>
    </row>
    <row r="59" spans="1:8" x14ac:dyDescent="0.3">
      <c r="A59" s="2" t="s">
        <v>224</v>
      </c>
      <c r="B59" s="1">
        <v>45370</v>
      </c>
      <c r="C59" s="2" t="s">
        <v>19</v>
      </c>
      <c r="D59" s="2" t="s">
        <v>12</v>
      </c>
      <c r="E59" s="2">
        <v>3227.1</v>
      </c>
      <c r="F59" s="2">
        <v>568.74</v>
      </c>
      <c r="G59" s="2">
        <v>14</v>
      </c>
      <c r="H59" s="2">
        <f>(F59/E59)*100</f>
        <v>17.623872826996376</v>
      </c>
    </row>
    <row r="60" spans="1:8" x14ac:dyDescent="0.3">
      <c r="A60" s="2" t="s">
        <v>120</v>
      </c>
      <c r="B60" s="1">
        <v>45371</v>
      </c>
      <c r="C60" s="2" t="s">
        <v>8</v>
      </c>
      <c r="D60" s="2" t="s">
        <v>10</v>
      </c>
      <c r="E60" s="2">
        <v>3394.55</v>
      </c>
      <c r="F60" s="2">
        <v>569.89</v>
      </c>
      <c r="G60" s="2">
        <v>11</v>
      </c>
      <c r="H60" s="2">
        <f>(F60/E60)*100</f>
        <v>16.788381376029221</v>
      </c>
    </row>
    <row r="61" spans="1:8" x14ac:dyDescent="0.3">
      <c r="A61" s="2" t="s">
        <v>57</v>
      </c>
      <c r="B61" s="1">
        <v>45375</v>
      </c>
      <c r="C61" s="2" t="s">
        <v>11</v>
      </c>
      <c r="D61" s="2" t="s">
        <v>12</v>
      </c>
      <c r="E61" s="2">
        <v>3511.65</v>
      </c>
      <c r="F61" s="2">
        <v>-27.06</v>
      </c>
      <c r="G61" s="2">
        <v>4</v>
      </c>
      <c r="H61" s="2">
        <f>(F61/E61)*100</f>
        <v>-0.77057793345008752</v>
      </c>
    </row>
    <row r="62" spans="1:8" x14ac:dyDescent="0.3">
      <c r="A62" s="2" t="s">
        <v>207</v>
      </c>
      <c r="B62" s="1">
        <v>45375</v>
      </c>
      <c r="C62" s="2" t="s">
        <v>8</v>
      </c>
      <c r="D62" s="2" t="s">
        <v>17</v>
      </c>
      <c r="E62" s="2">
        <v>4001.13</v>
      </c>
      <c r="F62" s="2">
        <v>1373.37</v>
      </c>
      <c r="G62" s="2">
        <v>20</v>
      </c>
      <c r="H62" s="2">
        <f>(F62/E62)*100</f>
        <v>34.324553313688874</v>
      </c>
    </row>
    <row r="63" spans="1:8" x14ac:dyDescent="0.3">
      <c r="A63" s="2" t="s">
        <v>239</v>
      </c>
      <c r="B63" s="1">
        <v>45376</v>
      </c>
      <c r="C63" s="2" t="s">
        <v>11</v>
      </c>
      <c r="D63" s="2" t="s">
        <v>10</v>
      </c>
      <c r="E63" s="2">
        <v>4397.12</v>
      </c>
      <c r="F63" s="2">
        <v>620.74</v>
      </c>
      <c r="G63" s="2">
        <v>17</v>
      </c>
      <c r="H63" s="2">
        <f>(F63/E63)*100</f>
        <v>14.116967469616476</v>
      </c>
    </row>
    <row r="64" spans="1:8" x14ac:dyDescent="0.3">
      <c r="A64" s="2" t="s">
        <v>214</v>
      </c>
      <c r="B64" s="1">
        <v>45380</v>
      </c>
      <c r="C64" s="2" t="s">
        <v>19</v>
      </c>
      <c r="D64" s="2" t="s">
        <v>9</v>
      </c>
      <c r="E64" s="2">
        <v>269.69</v>
      </c>
      <c r="F64" s="2">
        <v>65.260000000000005</v>
      </c>
      <c r="G64" s="2">
        <v>3</v>
      </c>
      <c r="H64" s="2">
        <f>(F64/E64)*100</f>
        <v>24.198153435425862</v>
      </c>
    </row>
    <row r="65" spans="1:8" x14ac:dyDescent="0.3">
      <c r="A65" s="2" t="s">
        <v>100</v>
      </c>
      <c r="B65" s="1">
        <v>45381</v>
      </c>
      <c r="C65" s="2" t="s">
        <v>19</v>
      </c>
      <c r="D65" s="2" t="s">
        <v>10</v>
      </c>
      <c r="E65" s="2">
        <v>2953.61</v>
      </c>
      <c r="F65" s="2">
        <v>971.12</v>
      </c>
      <c r="G65" s="2">
        <v>5</v>
      </c>
      <c r="H65" s="2">
        <f>(F65/E65)*100</f>
        <v>32.879086947836718</v>
      </c>
    </row>
    <row r="66" spans="1:8" x14ac:dyDescent="0.3">
      <c r="A66" s="2" t="s">
        <v>105</v>
      </c>
      <c r="B66" s="1">
        <v>45382</v>
      </c>
      <c r="C66" s="2" t="s">
        <v>11</v>
      </c>
      <c r="D66" s="2" t="s">
        <v>14</v>
      </c>
      <c r="E66" s="2">
        <v>1707.92</v>
      </c>
      <c r="F66" s="2">
        <v>6.28</v>
      </c>
      <c r="G66" s="2">
        <v>6</v>
      </c>
      <c r="H66" s="2">
        <f>(F66/E66)*100</f>
        <v>0.36769872125158087</v>
      </c>
    </row>
    <row r="67" spans="1:8" x14ac:dyDescent="0.3">
      <c r="A67" s="2" t="s">
        <v>109</v>
      </c>
      <c r="B67" s="1">
        <v>45382</v>
      </c>
      <c r="C67" s="2" t="s">
        <v>11</v>
      </c>
      <c r="D67" s="2" t="s">
        <v>17</v>
      </c>
      <c r="E67" s="2">
        <v>3466.79</v>
      </c>
      <c r="F67" s="2">
        <v>492.46</v>
      </c>
      <c r="G67" s="2">
        <v>12</v>
      </c>
      <c r="H67" s="2">
        <f>(F67/E67)*100</f>
        <v>14.205071550339074</v>
      </c>
    </row>
    <row r="68" spans="1:8" x14ac:dyDescent="0.3">
      <c r="A68" s="2" t="s">
        <v>249</v>
      </c>
      <c r="B68" s="1">
        <v>45384</v>
      </c>
      <c r="C68" s="2" t="s">
        <v>11</v>
      </c>
      <c r="D68" s="2" t="s">
        <v>10</v>
      </c>
      <c r="E68" s="2">
        <v>4228.17</v>
      </c>
      <c r="F68" s="2">
        <v>139.18</v>
      </c>
      <c r="G68" s="2">
        <v>6</v>
      </c>
      <c r="H68" s="2">
        <f>(F68/E68)*100</f>
        <v>3.2917314109886782</v>
      </c>
    </row>
    <row r="69" spans="1:8" x14ac:dyDescent="0.3">
      <c r="A69" s="2" t="s">
        <v>258</v>
      </c>
      <c r="B69" s="1">
        <v>45384</v>
      </c>
      <c r="C69" s="2" t="s">
        <v>19</v>
      </c>
      <c r="D69" s="2" t="s">
        <v>17</v>
      </c>
      <c r="E69" s="2">
        <v>884.44</v>
      </c>
      <c r="F69" s="2">
        <v>287.92</v>
      </c>
      <c r="G69" s="2">
        <v>11</v>
      </c>
      <c r="H69" s="2">
        <f>(F69/E69)*100</f>
        <v>32.553932431821266</v>
      </c>
    </row>
    <row r="70" spans="1:8" x14ac:dyDescent="0.3">
      <c r="A70" s="2" t="s">
        <v>188</v>
      </c>
      <c r="B70" s="1">
        <v>45389</v>
      </c>
      <c r="C70" s="2" t="s">
        <v>11</v>
      </c>
      <c r="D70" s="2" t="s">
        <v>10</v>
      </c>
      <c r="E70" s="2">
        <v>1128.97</v>
      </c>
      <c r="F70" s="2">
        <v>21.37</v>
      </c>
      <c r="G70" s="2">
        <v>8</v>
      </c>
      <c r="H70" s="2">
        <f>(F70/E70)*100</f>
        <v>1.8928758071516516</v>
      </c>
    </row>
    <row r="71" spans="1:8" x14ac:dyDescent="0.3">
      <c r="A71" s="2" t="s">
        <v>13</v>
      </c>
      <c r="B71" s="1">
        <v>45391</v>
      </c>
      <c r="C71" s="2" t="s">
        <v>8</v>
      </c>
      <c r="D71" s="2" t="s">
        <v>14</v>
      </c>
      <c r="E71" s="2">
        <v>3024.85</v>
      </c>
      <c r="F71" s="2">
        <v>616.52</v>
      </c>
      <c r="G71" s="2">
        <v>13</v>
      </c>
      <c r="H71" s="2">
        <f>(F71/E71)*100</f>
        <v>20.381837115890043</v>
      </c>
    </row>
    <row r="72" spans="1:8" x14ac:dyDescent="0.3">
      <c r="A72" s="2" t="s">
        <v>264</v>
      </c>
      <c r="B72" s="1">
        <v>45392</v>
      </c>
      <c r="C72" s="2" t="s">
        <v>19</v>
      </c>
      <c r="D72" s="2" t="s">
        <v>17</v>
      </c>
      <c r="E72" s="2">
        <v>3595.62</v>
      </c>
      <c r="F72" s="2">
        <v>-156.97999999999999</v>
      </c>
      <c r="G72" s="2">
        <v>4</v>
      </c>
      <c r="H72" s="2">
        <f>(F72/E72)*100</f>
        <v>-4.3658673608445833</v>
      </c>
    </row>
    <row r="73" spans="1:8" x14ac:dyDescent="0.3">
      <c r="A73" s="2" t="s">
        <v>154</v>
      </c>
      <c r="B73" s="1">
        <v>45395</v>
      </c>
      <c r="C73" s="2" t="s">
        <v>16</v>
      </c>
      <c r="D73" s="2" t="s">
        <v>17</v>
      </c>
      <c r="E73" s="2">
        <v>2084.29</v>
      </c>
      <c r="F73" s="2">
        <v>525.97</v>
      </c>
      <c r="G73" s="2">
        <v>10</v>
      </c>
      <c r="H73" s="2">
        <f>(F73/E73)*100</f>
        <v>25.234972100811309</v>
      </c>
    </row>
    <row r="74" spans="1:8" x14ac:dyDescent="0.3">
      <c r="A74" s="2" t="s">
        <v>175</v>
      </c>
      <c r="B74" s="1">
        <v>45395</v>
      </c>
      <c r="C74" s="2" t="s">
        <v>19</v>
      </c>
      <c r="D74" s="2" t="s">
        <v>10</v>
      </c>
      <c r="E74" s="2">
        <v>2518.04</v>
      </c>
      <c r="F74" s="2">
        <v>562.49</v>
      </c>
      <c r="G74" s="2">
        <v>15</v>
      </c>
      <c r="H74" s="2">
        <f>(F74/E74)*100</f>
        <v>22.338406061857636</v>
      </c>
    </row>
    <row r="75" spans="1:8" x14ac:dyDescent="0.3">
      <c r="A75" s="2" t="s">
        <v>164</v>
      </c>
      <c r="B75" s="1">
        <v>45398</v>
      </c>
      <c r="C75" s="2" t="s">
        <v>22</v>
      </c>
      <c r="D75" s="2" t="s">
        <v>10</v>
      </c>
      <c r="E75" s="2">
        <v>275.38</v>
      </c>
      <c r="F75" s="2">
        <v>74.02</v>
      </c>
      <c r="G75" s="2">
        <v>18</v>
      </c>
      <c r="H75" s="2">
        <f>(F75/E75)*100</f>
        <v>26.879221439465468</v>
      </c>
    </row>
    <row r="76" spans="1:8" x14ac:dyDescent="0.3">
      <c r="A76" s="2" t="s">
        <v>147</v>
      </c>
      <c r="B76" s="1">
        <v>45401</v>
      </c>
      <c r="C76" s="2" t="s">
        <v>8</v>
      </c>
      <c r="D76" s="2" t="s">
        <v>14</v>
      </c>
      <c r="E76" s="2">
        <v>4429.8</v>
      </c>
      <c r="F76" s="2">
        <v>986.82</v>
      </c>
      <c r="G76" s="2">
        <v>8</v>
      </c>
      <c r="H76" s="2">
        <f>(F76/E76)*100</f>
        <v>22.276852228091563</v>
      </c>
    </row>
    <row r="77" spans="1:8" x14ac:dyDescent="0.3">
      <c r="A77" s="2" t="s">
        <v>161</v>
      </c>
      <c r="B77" s="1">
        <v>45401</v>
      </c>
      <c r="C77" s="2" t="s">
        <v>11</v>
      </c>
      <c r="D77" s="2" t="s">
        <v>9</v>
      </c>
      <c r="E77" s="2">
        <v>947.59</v>
      </c>
      <c r="F77" s="2">
        <v>207.8</v>
      </c>
      <c r="G77" s="2">
        <v>7</v>
      </c>
      <c r="H77" s="2">
        <f>(F77/E77)*100</f>
        <v>21.92931542122648</v>
      </c>
    </row>
    <row r="78" spans="1:8" x14ac:dyDescent="0.3">
      <c r="A78" s="2" t="s">
        <v>235</v>
      </c>
      <c r="B78" s="1">
        <v>45401</v>
      </c>
      <c r="C78" s="2" t="s">
        <v>11</v>
      </c>
      <c r="D78" s="2" t="s">
        <v>10</v>
      </c>
      <c r="E78" s="2">
        <v>806.28</v>
      </c>
      <c r="F78" s="2">
        <v>226.98</v>
      </c>
      <c r="G78" s="2">
        <v>18</v>
      </c>
      <c r="H78" s="2">
        <f>(F78/E78)*100</f>
        <v>28.151510641464505</v>
      </c>
    </row>
    <row r="79" spans="1:8" x14ac:dyDescent="0.3">
      <c r="A79" s="2" t="s">
        <v>155</v>
      </c>
      <c r="B79" s="1">
        <v>45402</v>
      </c>
      <c r="C79" s="2" t="s">
        <v>8</v>
      </c>
      <c r="D79" s="2" t="s">
        <v>10</v>
      </c>
      <c r="E79" s="2">
        <v>4127.6899999999996</v>
      </c>
      <c r="F79" s="2">
        <v>1038.98</v>
      </c>
      <c r="G79" s="2">
        <v>14</v>
      </c>
      <c r="H79" s="2">
        <f>(F79/E79)*100</f>
        <v>25.170979409790949</v>
      </c>
    </row>
    <row r="80" spans="1:8" x14ac:dyDescent="0.3">
      <c r="A80" s="2" t="s">
        <v>99</v>
      </c>
      <c r="B80" s="1">
        <v>45403</v>
      </c>
      <c r="C80" s="2" t="s">
        <v>19</v>
      </c>
      <c r="D80" s="2" t="s">
        <v>14</v>
      </c>
      <c r="E80" s="2">
        <v>4065.89</v>
      </c>
      <c r="F80" s="2">
        <v>686.4</v>
      </c>
      <c r="G80" s="2">
        <v>18</v>
      </c>
      <c r="H80" s="2">
        <f>(F80/E80)*100</f>
        <v>16.88191269316189</v>
      </c>
    </row>
    <row r="81" spans="1:8" x14ac:dyDescent="0.3">
      <c r="A81" s="2" t="s">
        <v>142</v>
      </c>
      <c r="B81" s="1">
        <v>45404</v>
      </c>
      <c r="C81" s="2" t="s">
        <v>22</v>
      </c>
      <c r="D81" s="2" t="s">
        <v>12</v>
      </c>
      <c r="E81" s="2">
        <v>2827.42</v>
      </c>
      <c r="F81" s="2">
        <v>239.93</v>
      </c>
      <c r="G81" s="2">
        <v>1</v>
      </c>
      <c r="H81" s="2">
        <f>(F81/E81)*100</f>
        <v>8.4858280694060308</v>
      </c>
    </row>
    <row r="82" spans="1:8" x14ac:dyDescent="0.3">
      <c r="A82" s="2" t="s">
        <v>181</v>
      </c>
      <c r="B82" s="1">
        <v>45405</v>
      </c>
      <c r="C82" s="2" t="s">
        <v>11</v>
      </c>
      <c r="D82" s="2" t="s">
        <v>14</v>
      </c>
      <c r="E82" s="2">
        <v>369.26</v>
      </c>
      <c r="F82" s="2">
        <v>93.29</v>
      </c>
      <c r="G82" s="2">
        <v>20</v>
      </c>
      <c r="H82" s="2">
        <f>(F82/E82)*100</f>
        <v>25.264041596706932</v>
      </c>
    </row>
    <row r="83" spans="1:8" x14ac:dyDescent="0.3">
      <c r="A83" s="2" t="s">
        <v>133</v>
      </c>
      <c r="B83" s="1">
        <v>45406</v>
      </c>
      <c r="C83" s="2" t="s">
        <v>22</v>
      </c>
      <c r="D83" s="2" t="s">
        <v>14</v>
      </c>
      <c r="E83" s="2">
        <v>3068.64</v>
      </c>
      <c r="F83" s="2">
        <v>306.67</v>
      </c>
      <c r="G83" s="2">
        <v>4</v>
      </c>
      <c r="H83" s="2">
        <f>(F83/E83)*100</f>
        <v>9.9936779811251899</v>
      </c>
    </row>
    <row r="84" spans="1:8" x14ac:dyDescent="0.3">
      <c r="A84" s="2" t="s">
        <v>268</v>
      </c>
      <c r="B84" s="1">
        <v>45407</v>
      </c>
      <c r="C84" s="2" t="s">
        <v>22</v>
      </c>
      <c r="D84" s="2" t="s">
        <v>14</v>
      </c>
      <c r="E84" s="2">
        <v>410.59</v>
      </c>
      <c r="F84" s="2">
        <v>30.33</v>
      </c>
      <c r="G84" s="2">
        <v>14</v>
      </c>
      <c r="H84" s="2">
        <f>(F84/E84)*100</f>
        <v>7.3869310017292191</v>
      </c>
    </row>
    <row r="85" spans="1:8" x14ac:dyDescent="0.3">
      <c r="A85" s="2" t="s">
        <v>37</v>
      </c>
      <c r="B85" s="1">
        <v>45411</v>
      </c>
      <c r="C85" s="2" t="s">
        <v>16</v>
      </c>
      <c r="D85" s="2" t="s">
        <v>12</v>
      </c>
      <c r="E85" s="2">
        <v>4291.8500000000004</v>
      </c>
      <c r="F85" s="2">
        <v>-66.709999999999994</v>
      </c>
      <c r="G85" s="2">
        <v>13</v>
      </c>
      <c r="H85" s="2">
        <f>(F85/E85)*100</f>
        <v>-1.5543413679415634</v>
      </c>
    </row>
    <row r="86" spans="1:8" x14ac:dyDescent="0.3">
      <c r="A86" s="2" t="s">
        <v>198</v>
      </c>
      <c r="B86" s="1">
        <v>45411</v>
      </c>
      <c r="C86" s="2" t="s">
        <v>22</v>
      </c>
      <c r="D86" s="2" t="s">
        <v>12</v>
      </c>
      <c r="E86" s="2">
        <v>4305.7700000000004</v>
      </c>
      <c r="F86" s="2">
        <v>710.18</v>
      </c>
      <c r="G86" s="2">
        <v>19</v>
      </c>
      <c r="H86" s="2">
        <f>(F86/E86)*100</f>
        <v>16.493681734045243</v>
      </c>
    </row>
    <row r="87" spans="1:8" x14ac:dyDescent="0.3">
      <c r="A87" s="2" t="s">
        <v>21</v>
      </c>
      <c r="B87" s="1">
        <v>45415</v>
      </c>
      <c r="C87" s="2" t="s">
        <v>22</v>
      </c>
      <c r="D87" s="2" t="s">
        <v>14</v>
      </c>
      <c r="E87" s="2">
        <v>1132.6300000000001</v>
      </c>
      <c r="F87" s="2">
        <v>32.44</v>
      </c>
      <c r="G87" s="2">
        <v>9</v>
      </c>
      <c r="H87" s="2">
        <f>(F87/E87)*100</f>
        <v>2.8641303867988661</v>
      </c>
    </row>
    <row r="88" spans="1:8" x14ac:dyDescent="0.3">
      <c r="A88" s="2" t="s">
        <v>125</v>
      </c>
      <c r="B88" s="1">
        <v>45416</v>
      </c>
      <c r="C88" s="2" t="s">
        <v>19</v>
      </c>
      <c r="D88" s="2" t="s">
        <v>10</v>
      </c>
      <c r="E88" s="2">
        <v>4425.54</v>
      </c>
      <c r="F88" s="2">
        <v>1080.1500000000001</v>
      </c>
      <c r="G88" s="2">
        <v>18</v>
      </c>
      <c r="H88" s="2">
        <f>(F88/E88)*100</f>
        <v>24.407190986862624</v>
      </c>
    </row>
    <row r="89" spans="1:8" x14ac:dyDescent="0.3">
      <c r="A89" s="2" t="s">
        <v>58</v>
      </c>
      <c r="B89" s="1">
        <v>45421</v>
      </c>
      <c r="C89" s="2" t="s">
        <v>19</v>
      </c>
      <c r="D89" s="2" t="s">
        <v>14</v>
      </c>
      <c r="E89" s="2">
        <v>4078.19</v>
      </c>
      <c r="F89" s="2">
        <v>-155.69</v>
      </c>
      <c r="G89" s="2">
        <v>7</v>
      </c>
      <c r="H89" s="2">
        <f>(F89/E89)*100</f>
        <v>-3.8176249757858263</v>
      </c>
    </row>
    <row r="90" spans="1:8" x14ac:dyDescent="0.3">
      <c r="A90" s="2" t="s">
        <v>124</v>
      </c>
      <c r="B90" s="1">
        <v>45423</v>
      </c>
      <c r="C90" s="2" t="s">
        <v>22</v>
      </c>
      <c r="D90" s="2" t="s">
        <v>10</v>
      </c>
      <c r="E90" s="2">
        <v>1470.21</v>
      </c>
      <c r="F90" s="2">
        <v>-67.650000000000006</v>
      </c>
      <c r="G90" s="2">
        <v>6</v>
      </c>
      <c r="H90" s="2">
        <f>(F90/E90)*100</f>
        <v>-4.6013834758299836</v>
      </c>
    </row>
    <row r="91" spans="1:8" x14ac:dyDescent="0.3">
      <c r="A91" s="2" t="s">
        <v>136</v>
      </c>
      <c r="B91" s="1">
        <v>45423</v>
      </c>
      <c r="C91" s="2" t="s">
        <v>19</v>
      </c>
      <c r="D91" s="2" t="s">
        <v>14</v>
      </c>
      <c r="E91" s="2">
        <v>4354.6499999999996</v>
      </c>
      <c r="F91" s="2">
        <v>660.9</v>
      </c>
      <c r="G91" s="2">
        <v>14</v>
      </c>
      <c r="H91" s="2">
        <f>(F91/E91)*100</f>
        <v>15.176879887017328</v>
      </c>
    </row>
    <row r="92" spans="1:8" x14ac:dyDescent="0.3">
      <c r="A92" s="2" t="s">
        <v>158</v>
      </c>
      <c r="B92" s="1">
        <v>45423</v>
      </c>
      <c r="C92" s="2" t="s">
        <v>19</v>
      </c>
      <c r="D92" s="2" t="s">
        <v>12</v>
      </c>
      <c r="E92" s="2">
        <v>4860.79</v>
      </c>
      <c r="F92" s="2">
        <v>517.05999999999995</v>
      </c>
      <c r="G92" s="2">
        <v>6</v>
      </c>
      <c r="H92" s="2">
        <f>(F92/E92)*100</f>
        <v>10.637365531117368</v>
      </c>
    </row>
    <row r="93" spans="1:8" x14ac:dyDescent="0.3">
      <c r="A93" s="2" t="s">
        <v>213</v>
      </c>
      <c r="B93" s="1">
        <v>45423</v>
      </c>
      <c r="C93" s="2" t="s">
        <v>11</v>
      </c>
      <c r="D93" s="2" t="s">
        <v>9</v>
      </c>
      <c r="E93" s="2">
        <v>3167.74</v>
      </c>
      <c r="F93" s="2">
        <v>248.83</v>
      </c>
      <c r="G93" s="2">
        <v>3</v>
      </c>
      <c r="H93" s="2">
        <f>(F93/E93)*100</f>
        <v>7.8551269990592667</v>
      </c>
    </row>
    <row r="94" spans="1:8" x14ac:dyDescent="0.3">
      <c r="A94" s="2" t="s">
        <v>151</v>
      </c>
      <c r="B94" s="1">
        <v>45430</v>
      </c>
      <c r="C94" s="2" t="s">
        <v>11</v>
      </c>
      <c r="D94" s="2" t="s">
        <v>10</v>
      </c>
      <c r="E94" s="2">
        <v>775.72</v>
      </c>
      <c r="F94" s="2">
        <v>-6.41</v>
      </c>
      <c r="G94" s="2">
        <v>6</v>
      </c>
      <c r="H94" s="2">
        <f>(F94/E94)*100</f>
        <v>-0.82632908781519099</v>
      </c>
    </row>
    <row r="95" spans="1:8" x14ac:dyDescent="0.3">
      <c r="A95" s="2" t="s">
        <v>168</v>
      </c>
      <c r="B95" s="1">
        <v>45431</v>
      </c>
      <c r="C95" s="2" t="s">
        <v>8</v>
      </c>
      <c r="D95" s="2" t="s">
        <v>14</v>
      </c>
      <c r="E95" s="2">
        <v>4037.49</v>
      </c>
      <c r="F95" s="2">
        <v>49.78</v>
      </c>
      <c r="G95" s="2">
        <v>7</v>
      </c>
      <c r="H95" s="2">
        <f>(F95/E95)*100</f>
        <v>1.2329442302024278</v>
      </c>
    </row>
    <row r="96" spans="1:8" x14ac:dyDescent="0.3">
      <c r="A96" s="2" t="s">
        <v>197</v>
      </c>
      <c r="B96" s="1">
        <v>45432</v>
      </c>
      <c r="C96" s="2" t="s">
        <v>22</v>
      </c>
      <c r="D96" s="2" t="s">
        <v>17</v>
      </c>
      <c r="E96" s="2">
        <v>2134.1999999999998</v>
      </c>
      <c r="F96" s="2">
        <v>-30.37</v>
      </c>
      <c r="G96" s="2">
        <v>14</v>
      </c>
      <c r="H96" s="2">
        <f>(F96/E96)*100</f>
        <v>-1.4230156498922315</v>
      </c>
    </row>
    <row r="97" spans="1:8" x14ac:dyDescent="0.3">
      <c r="A97" s="2" t="s">
        <v>24</v>
      </c>
      <c r="B97" s="1">
        <v>45433</v>
      </c>
      <c r="C97" s="2" t="s">
        <v>16</v>
      </c>
      <c r="D97" s="2" t="s">
        <v>12</v>
      </c>
      <c r="E97" s="2">
        <v>2320.96</v>
      </c>
      <c r="F97" s="2">
        <v>453.17</v>
      </c>
      <c r="G97" s="2">
        <v>7</v>
      </c>
      <c r="H97" s="2">
        <f>(F97/E97)*100</f>
        <v>19.525110299186544</v>
      </c>
    </row>
    <row r="98" spans="1:8" x14ac:dyDescent="0.3">
      <c r="A98" s="2" t="s">
        <v>114</v>
      </c>
      <c r="B98" s="1">
        <v>45436</v>
      </c>
      <c r="C98" s="2" t="s">
        <v>22</v>
      </c>
      <c r="D98" s="2" t="s">
        <v>9</v>
      </c>
      <c r="E98" s="2">
        <v>3462.05</v>
      </c>
      <c r="F98" s="2">
        <v>82.8</v>
      </c>
      <c r="G98" s="2">
        <v>20</v>
      </c>
      <c r="H98" s="2">
        <f>(F98/E98)*100</f>
        <v>2.3916465677849827</v>
      </c>
    </row>
    <row r="99" spans="1:8" x14ac:dyDescent="0.3">
      <c r="A99" s="2" t="s">
        <v>240</v>
      </c>
      <c r="B99" s="1">
        <v>45437</v>
      </c>
      <c r="C99" s="2" t="s">
        <v>22</v>
      </c>
      <c r="D99" s="2" t="s">
        <v>14</v>
      </c>
      <c r="E99" s="2">
        <v>2439.15</v>
      </c>
      <c r="F99" s="2">
        <v>62.97</v>
      </c>
      <c r="G99" s="2">
        <v>3</v>
      </c>
      <c r="H99" s="2">
        <f>(F99/E99)*100</f>
        <v>2.5816370456921467</v>
      </c>
    </row>
    <row r="100" spans="1:8" x14ac:dyDescent="0.3">
      <c r="A100" s="2" t="s">
        <v>263</v>
      </c>
      <c r="B100" s="1">
        <v>45439</v>
      </c>
      <c r="C100" s="2" t="s">
        <v>19</v>
      </c>
      <c r="D100" s="2" t="s">
        <v>17</v>
      </c>
      <c r="E100" s="2">
        <v>881.36</v>
      </c>
      <c r="F100" s="2">
        <v>-14.16</v>
      </c>
      <c r="G100" s="2">
        <v>6</v>
      </c>
      <c r="H100" s="2">
        <f>(F100/E100)*100</f>
        <v>-1.6066079695016791</v>
      </c>
    </row>
    <row r="101" spans="1:8" x14ac:dyDescent="0.3">
      <c r="A101" s="2" t="s">
        <v>266</v>
      </c>
      <c r="B101" s="1">
        <v>45440</v>
      </c>
      <c r="C101" s="2" t="s">
        <v>16</v>
      </c>
      <c r="D101" s="2" t="s">
        <v>14</v>
      </c>
      <c r="E101" s="2">
        <v>657.73</v>
      </c>
      <c r="F101" s="2">
        <v>156.12</v>
      </c>
      <c r="G101" s="2">
        <v>19</v>
      </c>
      <c r="H101" s="2">
        <f>(F101/E101)*100</f>
        <v>23.736183540358503</v>
      </c>
    </row>
    <row r="102" spans="1:8" x14ac:dyDescent="0.3">
      <c r="A102" s="2" t="s">
        <v>28</v>
      </c>
      <c r="B102" s="1">
        <v>45450</v>
      </c>
      <c r="C102" s="2" t="s">
        <v>8</v>
      </c>
      <c r="D102" s="2" t="s">
        <v>9</v>
      </c>
      <c r="E102" s="2">
        <v>2227.71</v>
      </c>
      <c r="F102" s="2">
        <v>736.65</v>
      </c>
      <c r="G102" s="2">
        <v>1</v>
      </c>
      <c r="H102" s="2">
        <f>(F102/E102)*100</f>
        <v>33.067589587513638</v>
      </c>
    </row>
    <row r="103" spans="1:8" x14ac:dyDescent="0.3">
      <c r="A103" s="2" t="s">
        <v>227</v>
      </c>
      <c r="B103" s="1">
        <v>45450</v>
      </c>
      <c r="C103" s="2" t="s">
        <v>22</v>
      </c>
      <c r="D103" s="2" t="s">
        <v>17</v>
      </c>
      <c r="E103" s="2">
        <v>2687.93</v>
      </c>
      <c r="F103" s="2">
        <v>301.95999999999998</v>
      </c>
      <c r="G103" s="2">
        <v>9</v>
      </c>
      <c r="H103" s="2">
        <f>(F103/E103)*100</f>
        <v>11.233923502472162</v>
      </c>
    </row>
    <row r="104" spans="1:8" x14ac:dyDescent="0.3">
      <c r="A104" s="2" t="s">
        <v>134</v>
      </c>
      <c r="B104" s="1">
        <v>45451</v>
      </c>
      <c r="C104" s="2" t="s">
        <v>19</v>
      </c>
      <c r="D104" s="2" t="s">
        <v>12</v>
      </c>
      <c r="E104" s="2">
        <v>526.73</v>
      </c>
      <c r="F104" s="2">
        <v>178.26</v>
      </c>
      <c r="G104" s="2">
        <v>17</v>
      </c>
      <c r="H104" s="2">
        <f>(F104/E104)*100</f>
        <v>33.842765743359969</v>
      </c>
    </row>
    <row r="105" spans="1:8" x14ac:dyDescent="0.3">
      <c r="A105" s="2" t="s">
        <v>60</v>
      </c>
      <c r="B105" s="1">
        <v>45453</v>
      </c>
      <c r="C105" s="2" t="s">
        <v>11</v>
      </c>
      <c r="D105" s="2" t="s">
        <v>14</v>
      </c>
      <c r="E105" s="2">
        <v>1585.73</v>
      </c>
      <c r="F105" s="2">
        <v>60.91</v>
      </c>
      <c r="G105" s="2">
        <v>20</v>
      </c>
      <c r="H105" s="2">
        <f>(F105/E105)*100</f>
        <v>3.8411331058881393</v>
      </c>
    </row>
    <row r="106" spans="1:8" x14ac:dyDescent="0.3">
      <c r="A106" s="2" t="s">
        <v>71</v>
      </c>
      <c r="B106" s="1">
        <v>45453</v>
      </c>
      <c r="C106" s="2" t="s">
        <v>16</v>
      </c>
      <c r="D106" s="2" t="s">
        <v>17</v>
      </c>
      <c r="E106" s="2">
        <v>4239.1000000000004</v>
      </c>
      <c r="F106" s="2">
        <v>62.95</v>
      </c>
      <c r="G106" s="2">
        <v>17</v>
      </c>
      <c r="H106" s="2">
        <f>(F106/E106)*100</f>
        <v>1.4849850204052746</v>
      </c>
    </row>
    <row r="107" spans="1:8" x14ac:dyDescent="0.3">
      <c r="A107" s="2" t="s">
        <v>18</v>
      </c>
      <c r="B107" s="1">
        <v>45457</v>
      </c>
      <c r="C107" s="2" t="s">
        <v>19</v>
      </c>
      <c r="D107" s="2" t="s">
        <v>14</v>
      </c>
      <c r="E107" s="2">
        <v>1257.68</v>
      </c>
      <c r="F107" s="2">
        <v>232.13</v>
      </c>
      <c r="G107" s="2">
        <v>6</v>
      </c>
      <c r="H107" s="2">
        <f>(F107/E107)*100</f>
        <v>18.457000190827554</v>
      </c>
    </row>
    <row r="108" spans="1:8" x14ac:dyDescent="0.3">
      <c r="A108" s="2" t="s">
        <v>148</v>
      </c>
      <c r="B108" s="1">
        <v>45457</v>
      </c>
      <c r="C108" s="2" t="s">
        <v>16</v>
      </c>
      <c r="D108" s="2" t="s">
        <v>14</v>
      </c>
      <c r="E108" s="2">
        <v>642.08000000000004</v>
      </c>
      <c r="F108" s="2">
        <v>214.36</v>
      </c>
      <c r="G108" s="2">
        <v>13</v>
      </c>
      <c r="H108" s="2">
        <f>(F108/E108)*100</f>
        <v>33.385247944181415</v>
      </c>
    </row>
    <row r="109" spans="1:8" x14ac:dyDescent="0.3">
      <c r="A109" s="2" t="s">
        <v>260</v>
      </c>
      <c r="B109" s="1">
        <v>45457</v>
      </c>
      <c r="C109" s="2" t="s">
        <v>11</v>
      </c>
      <c r="D109" s="2" t="s">
        <v>9</v>
      </c>
      <c r="E109" s="2">
        <v>3187.98</v>
      </c>
      <c r="F109" s="2">
        <v>238.03</v>
      </c>
      <c r="G109" s="2">
        <v>8</v>
      </c>
      <c r="H109" s="2">
        <f>(F109/E109)*100</f>
        <v>7.4664834785663645</v>
      </c>
    </row>
    <row r="110" spans="1:8" x14ac:dyDescent="0.3">
      <c r="A110" s="2" t="s">
        <v>225</v>
      </c>
      <c r="B110" s="1">
        <v>45459</v>
      </c>
      <c r="C110" s="2" t="s">
        <v>16</v>
      </c>
      <c r="D110" s="2" t="s">
        <v>17</v>
      </c>
      <c r="E110" s="2">
        <v>986.95</v>
      </c>
      <c r="F110" s="2">
        <v>21.52</v>
      </c>
      <c r="G110" s="2">
        <v>1</v>
      </c>
      <c r="H110" s="2">
        <f>(F110/E110)*100</f>
        <v>2.1804549369268957</v>
      </c>
    </row>
    <row r="111" spans="1:8" x14ac:dyDescent="0.3">
      <c r="A111" s="2" t="s">
        <v>209</v>
      </c>
      <c r="B111" s="1">
        <v>45461</v>
      </c>
      <c r="C111" s="2" t="s">
        <v>11</v>
      </c>
      <c r="D111" s="2" t="s">
        <v>17</v>
      </c>
      <c r="E111" s="2">
        <v>4352.1499999999996</v>
      </c>
      <c r="F111" s="2">
        <v>-196.62</v>
      </c>
      <c r="G111" s="2">
        <v>6</v>
      </c>
      <c r="H111" s="2">
        <f>(F111/E111)*100</f>
        <v>-4.517767080638305</v>
      </c>
    </row>
    <row r="112" spans="1:8" x14ac:dyDescent="0.3">
      <c r="A112" s="2" t="s">
        <v>145</v>
      </c>
      <c r="B112" s="1">
        <v>45462</v>
      </c>
      <c r="C112" s="2" t="s">
        <v>11</v>
      </c>
      <c r="D112" s="2" t="s">
        <v>17</v>
      </c>
      <c r="E112" s="2">
        <v>1257.3499999999999</v>
      </c>
      <c r="F112" s="2">
        <v>45.13</v>
      </c>
      <c r="G112" s="2">
        <v>9</v>
      </c>
      <c r="H112" s="2">
        <f>(F112/E112)*100</f>
        <v>3.5892949457191716</v>
      </c>
    </row>
    <row r="113" spans="1:8" x14ac:dyDescent="0.3">
      <c r="A113" s="2" t="s">
        <v>218</v>
      </c>
      <c r="B113" s="1">
        <v>45462</v>
      </c>
      <c r="C113" s="2" t="s">
        <v>16</v>
      </c>
      <c r="D113" s="2" t="s">
        <v>12</v>
      </c>
      <c r="E113" s="2">
        <v>4917.2</v>
      </c>
      <c r="F113" s="2">
        <v>1668.62</v>
      </c>
      <c r="G113" s="2">
        <v>18</v>
      </c>
      <c r="H113" s="2">
        <f>(F113/E113)*100</f>
        <v>33.934352883754983</v>
      </c>
    </row>
    <row r="114" spans="1:8" x14ac:dyDescent="0.3">
      <c r="A114" s="2" t="s">
        <v>94</v>
      </c>
      <c r="B114" s="1">
        <v>45463</v>
      </c>
      <c r="C114" s="2" t="s">
        <v>19</v>
      </c>
      <c r="D114" s="2" t="s">
        <v>9</v>
      </c>
      <c r="E114" s="2">
        <v>1111.3599999999999</v>
      </c>
      <c r="F114" s="2">
        <v>219.64</v>
      </c>
      <c r="G114" s="2">
        <v>20</v>
      </c>
      <c r="H114" s="2">
        <f>(F114/E114)*100</f>
        <v>19.763173049236972</v>
      </c>
    </row>
    <row r="115" spans="1:8" x14ac:dyDescent="0.3">
      <c r="A115" s="2" t="s">
        <v>111</v>
      </c>
      <c r="B115" s="1">
        <v>45466</v>
      </c>
      <c r="C115" s="2" t="s">
        <v>8</v>
      </c>
      <c r="D115" s="2" t="s">
        <v>10</v>
      </c>
      <c r="E115" s="2">
        <v>4923.26</v>
      </c>
      <c r="F115" s="2">
        <v>223.77</v>
      </c>
      <c r="G115" s="2">
        <v>12</v>
      </c>
      <c r="H115" s="2">
        <f>(F115/E115)*100</f>
        <v>4.5451591018958979</v>
      </c>
    </row>
    <row r="116" spans="1:8" x14ac:dyDescent="0.3">
      <c r="A116" s="2" t="s">
        <v>143</v>
      </c>
      <c r="B116" s="1">
        <v>45466</v>
      </c>
      <c r="C116" s="2" t="s">
        <v>19</v>
      </c>
      <c r="D116" s="2" t="s">
        <v>17</v>
      </c>
      <c r="E116" s="2">
        <v>1572.31</v>
      </c>
      <c r="F116" s="2">
        <v>516.05999999999995</v>
      </c>
      <c r="G116" s="2">
        <v>7</v>
      </c>
      <c r="H116" s="2">
        <f>(F116/E116)*100</f>
        <v>32.821771788006181</v>
      </c>
    </row>
    <row r="117" spans="1:8" x14ac:dyDescent="0.3">
      <c r="A117" s="2" t="s">
        <v>243</v>
      </c>
      <c r="B117" s="1">
        <v>45468</v>
      </c>
      <c r="C117" s="2" t="s">
        <v>22</v>
      </c>
      <c r="D117" s="2" t="s">
        <v>14</v>
      </c>
      <c r="E117" s="2">
        <v>4785.7</v>
      </c>
      <c r="F117" s="2">
        <v>1399.29</v>
      </c>
      <c r="G117" s="2">
        <v>17</v>
      </c>
      <c r="H117" s="2">
        <f>(F117/E117)*100</f>
        <v>29.238982802933737</v>
      </c>
    </row>
    <row r="118" spans="1:8" x14ac:dyDescent="0.3">
      <c r="A118" s="2" t="s">
        <v>77</v>
      </c>
      <c r="B118" s="1">
        <v>45469</v>
      </c>
      <c r="C118" s="2" t="s">
        <v>19</v>
      </c>
      <c r="D118" s="2" t="s">
        <v>9</v>
      </c>
      <c r="E118" s="2">
        <v>517.66999999999996</v>
      </c>
      <c r="F118" s="2">
        <v>21.65</v>
      </c>
      <c r="G118" s="2">
        <v>19</v>
      </c>
      <c r="H118" s="2">
        <f>(F118/E118)*100</f>
        <v>4.1822010160913328</v>
      </c>
    </row>
    <row r="119" spans="1:8" x14ac:dyDescent="0.3">
      <c r="A119" s="2" t="s">
        <v>179</v>
      </c>
      <c r="B119" s="1">
        <v>45469</v>
      </c>
      <c r="C119" s="2" t="s">
        <v>16</v>
      </c>
      <c r="D119" s="2" t="s">
        <v>10</v>
      </c>
      <c r="E119" s="2">
        <v>4802.55</v>
      </c>
      <c r="F119" s="2">
        <v>-193.38</v>
      </c>
      <c r="G119" s="2">
        <v>2</v>
      </c>
      <c r="H119" s="2">
        <f>(F119/E119)*100</f>
        <v>-4.0266108629790427</v>
      </c>
    </row>
    <row r="120" spans="1:8" x14ac:dyDescent="0.3">
      <c r="A120" s="2" t="s">
        <v>238</v>
      </c>
      <c r="B120" s="1">
        <v>45471</v>
      </c>
      <c r="C120" s="2" t="s">
        <v>19</v>
      </c>
      <c r="D120" s="2" t="s">
        <v>9</v>
      </c>
      <c r="E120" s="2">
        <v>3187.53</v>
      </c>
      <c r="F120" s="2">
        <v>152.58000000000001</v>
      </c>
      <c r="G120" s="2">
        <v>10</v>
      </c>
      <c r="H120" s="2">
        <f>(F120/E120)*100</f>
        <v>4.7867784773790367</v>
      </c>
    </row>
    <row r="121" spans="1:8" x14ac:dyDescent="0.3">
      <c r="A121" s="2" t="s">
        <v>74</v>
      </c>
      <c r="B121" s="1">
        <v>45473</v>
      </c>
      <c r="C121" s="2" t="s">
        <v>11</v>
      </c>
      <c r="D121" s="2" t="s">
        <v>14</v>
      </c>
      <c r="E121" s="2">
        <v>1904.11</v>
      </c>
      <c r="F121" s="2">
        <v>283.36</v>
      </c>
      <c r="G121" s="2">
        <v>15</v>
      </c>
      <c r="H121" s="2">
        <f>(F121/E121)*100</f>
        <v>14.881493191044637</v>
      </c>
    </row>
    <row r="122" spans="1:8" x14ac:dyDescent="0.3">
      <c r="A122" s="2" t="s">
        <v>41</v>
      </c>
      <c r="B122" s="1">
        <v>45475</v>
      </c>
      <c r="C122" s="2" t="s">
        <v>19</v>
      </c>
      <c r="D122" s="2" t="s">
        <v>10</v>
      </c>
      <c r="E122" s="2">
        <v>4585.32</v>
      </c>
      <c r="F122" s="2">
        <v>1152.6500000000001</v>
      </c>
      <c r="G122" s="2">
        <v>14</v>
      </c>
      <c r="H122" s="2">
        <f>(F122/E122)*100</f>
        <v>25.137831165545705</v>
      </c>
    </row>
    <row r="123" spans="1:8" x14ac:dyDescent="0.3">
      <c r="A123" s="2" t="s">
        <v>165</v>
      </c>
      <c r="B123" s="1">
        <v>45479</v>
      </c>
      <c r="C123" s="2" t="s">
        <v>16</v>
      </c>
      <c r="D123" s="2" t="s">
        <v>9</v>
      </c>
      <c r="E123" s="2">
        <v>3048.02</v>
      </c>
      <c r="F123" s="2">
        <v>-7.26</v>
      </c>
      <c r="G123" s="2">
        <v>13</v>
      </c>
      <c r="H123" s="2">
        <f>(F123/E123)*100</f>
        <v>-0.23818741346841557</v>
      </c>
    </row>
    <row r="124" spans="1:8" x14ac:dyDescent="0.3">
      <c r="A124" s="2" t="s">
        <v>171</v>
      </c>
      <c r="B124" s="1">
        <v>45481</v>
      </c>
      <c r="C124" s="2" t="s">
        <v>11</v>
      </c>
      <c r="D124" s="2" t="s">
        <v>17</v>
      </c>
      <c r="E124" s="2">
        <v>3551.59</v>
      </c>
      <c r="F124" s="2">
        <v>474.54</v>
      </c>
      <c r="G124" s="2">
        <v>9</v>
      </c>
      <c r="H124" s="2">
        <f>(F124/E124)*100</f>
        <v>13.361339569038092</v>
      </c>
    </row>
    <row r="125" spans="1:8" x14ac:dyDescent="0.3">
      <c r="A125" s="2" t="s">
        <v>176</v>
      </c>
      <c r="B125" s="1">
        <v>45483</v>
      </c>
      <c r="C125" s="2" t="s">
        <v>22</v>
      </c>
      <c r="D125" s="2" t="s">
        <v>14</v>
      </c>
      <c r="E125" s="2">
        <v>1370.27</v>
      </c>
      <c r="F125" s="2">
        <v>-57.79</v>
      </c>
      <c r="G125" s="2">
        <v>13</v>
      </c>
      <c r="H125" s="2">
        <f>(F125/E125)*100</f>
        <v>-4.2174170054076932</v>
      </c>
    </row>
    <row r="126" spans="1:8" x14ac:dyDescent="0.3">
      <c r="A126" s="2" t="s">
        <v>84</v>
      </c>
      <c r="B126" s="1">
        <v>45484</v>
      </c>
      <c r="C126" s="2" t="s">
        <v>19</v>
      </c>
      <c r="D126" s="2" t="s">
        <v>12</v>
      </c>
      <c r="E126" s="2">
        <v>1750.74</v>
      </c>
      <c r="F126" s="2">
        <v>118.45</v>
      </c>
      <c r="G126" s="2">
        <v>19</v>
      </c>
      <c r="H126" s="2">
        <f>(F126/E126)*100</f>
        <v>6.7657104995601864</v>
      </c>
    </row>
    <row r="127" spans="1:8" x14ac:dyDescent="0.3">
      <c r="A127" s="2" t="s">
        <v>202</v>
      </c>
      <c r="B127" s="1">
        <v>45485</v>
      </c>
      <c r="C127" s="2" t="s">
        <v>8</v>
      </c>
      <c r="D127" s="2" t="s">
        <v>10</v>
      </c>
      <c r="E127" s="2">
        <v>4759.57</v>
      </c>
      <c r="F127" s="2">
        <v>993.42</v>
      </c>
      <c r="G127" s="2">
        <v>8</v>
      </c>
      <c r="H127" s="2">
        <f>(F127/E127)*100</f>
        <v>20.872053567864324</v>
      </c>
    </row>
    <row r="128" spans="1:8" x14ac:dyDescent="0.3">
      <c r="A128" s="2" t="s">
        <v>15</v>
      </c>
      <c r="B128" s="1">
        <v>45487</v>
      </c>
      <c r="C128" s="2" t="s">
        <v>16</v>
      </c>
      <c r="D128" s="2" t="s">
        <v>14</v>
      </c>
      <c r="E128" s="2">
        <v>4989.7700000000004</v>
      </c>
      <c r="F128" s="2">
        <v>983.04</v>
      </c>
      <c r="G128" s="2">
        <v>2</v>
      </c>
      <c r="H128" s="2">
        <f>(F128/E128)*100</f>
        <v>19.701108467925373</v>
      </c>
    </row>
    <row r="129" spans="1:8" x14ac:dyDescent="0.3">
      <c r="A129" s="2" t="s">
        <v>185</v>
      </c>
      <c r="B129" s="1">
        <v>45487</v>
      </c>
      <c r="C129" s="2" t="s">
        <v>19</v>
      </c>
      <c r="D129" s="2" t="s">
        <v>17</v>
      </c>
      <c r="E129" s="2">
        <v>4298.99</v>
      </c>
      <c r="F129" s="2">
        <v>-13.16</v>
      </c>
      <c r="G129" s="2">
        <v>1</v>
      </c>
      <c r="H129" s="2">
        <f>(F129/E129)*100</f>
        <v>-0.30611841385999972</v>
      </c>
    </row>
    <row r="130" spans="1:8" x14ac:dyDescent="0.3">
      <c r="A130" s="2" t="s">
        <v>229</v>
      </c>
      <c r="B130" s="1">
        <v>45487</v>
      </c>
      <c r="C130" s="2" t="s">
        <v>19</v>
      </c>
      <c r="D130" s="2" t="s">
        <v>12</v>
      </c>
      <c r="E130" s="2">
        <v>2097.41</v>
      </c>
      <c r="F130" s="2">
        <v>-15.34</v>
      </c>
      <c r="G130" s="2">
        <v>20</v>
      </c>
      <c r="H130" s="2">
        <f>(F130/E130)*100</f>
        <v>-0.73137822361865357</v>
      </c>
    </row>
    <row r="131" spans="1:8" x14ac:dyDescent="0.3">
      <c r="A131" s="2" t="s">
        <v>231</v>
      </c>
      <c r="B131" s="1">
        <v>45487</v>
      </c>
      <c r="C131" s="2" t="s">
        <v>11</v>
      </c>
      <c r="D131" s="2" t="s">
        <v>17</v>
      </c>
      <c r="E131" s="2">
        <v>4597.67</v>
      </c>
      <c r="F131" s="2">
        <v>876.18</v>
      </c>
      <c r="G131" s="2">
        <v>18</v>
      </c>
      <c r="H131" s="2">
        <f>(F131/E131)*100</f>
        <v>19.057044111473854</v>
      </c>
    </row>
    <row r="132" spans="1:8" x14ac:dyDescent="0.3">
      <c r="A132" s="2" t="s">
        <v>32</v>
      </c>
      <c r="B132" s="1">
        <v>45490</v>
      </c>
      <c r="C132" s="2" t="s">
        <v>8</v>
      </c>
      <c r="D132" s="2" t="s">
        <v>10</v>
      </c>
      <c r="E132" s="2">
        <v>3991.87</v>
      </c>
      <c r="F132" s="2">
        <v>417.54</v>
      </c>
      <c r="G132" s="2">
        <v>8</v>
      </c>
      <c r="H132" s="2">
        <f>(F132/E132)*100</f>
        <v>10.459759461104696</v>
      </c>
    </row>
    <row r="133" spans="1:8" x14ac:dyDescent="0.3">
      <c r="A133" s="2" t="s">
        <v>123</v>
      </c>
      <c r="B133" s="1">
        <v>45490</v>
      </c>
      <c r="C133" s="2" t="s">
        <v>11</v>
      </c>
      <c r="D133" s="2" t="s">
        <v>12</v>
      </c>
      <c r="E133" s="2">
        <v>3705.76</v>
      </c>
      <c r="F133" s="2">
        <v>642.11</v>
      </c>
      <c r="G133" s="2">
        <v>3</v>
      </c>
      <c r="H133" s="2">
        <f>(F133/E133)*100</f>
        <v>17.327349855360303</v>
      </c>
    </row>
    <row r="134" spans="1:8" x14ac:dyDescent="0.3">
      <c r="A134" s="2" t="s">
        <v>237</v>
      </c>
      <c r="B134" s="1">
        <v>45490</v>
      </c>
      <c r="C134" s="2" t="s">
        <v>19</v>
      </c>
      <c r="D134" s="2" t="s">
        <v>10</v>
      </c>
      <c r="E134" s="2">
        <v>1100.25</v>
      </c>
      <c r="F134" s="2">
        <v>25.71</v>
      </c>
      <c r="G134" s="2">
        <v>6</v>
      </c>
      <c r="H134" s="2">
        <f>(F134/E134)*100</f>
        <v>2.3367416496250852</v>
      </c>
    </row>
    <row r="135" spans="1:8" x14ac:dyDescent="0.3">
      <c r="A135" s="2" t="s">
        <v>93</v>
      </c>
      <c r="B135" s="1">
        <v>45491</v>
      </c>
      <c r="C135" s="2" t="s">
        <v>11</v>
      </c>
      <c r="D135" s="2" t="s">
        <v>14</v>
      </c>
      <c r="E135" s="2">
        <v>4813.8900000000003</v>
      </c>
      <c r="F135" s="2">
        <v>674.86</v>
      </c>
      <c r="G135" s="2">
        <v>18</v>
      </c>
      <c r="H135" s="2">
        <f>(F135/E135)*100</f>
        <v>14.019015806343727</v>
      </c>
    </row>
    <row r="136" spans="1:8" x14ac:dyDescent="0.3">
      <c r="A136" s="2" t="s">
        <v>223</v>
      </c>
      <c r="B136" s="1">
        <v>45491</v>
      </c>
      <c r="C136" s="2" t="s">
        <v>16</v>
      </c>
      <c r="D136" s="2" t="s">
        <v>17</v>
      </c>
      <c r="E136" s="2">
        <v>938.29</v>
      </c>
      <c r="F136" s="2">
        <v>43.32</v>
      </c>
      <c r="G136" s="2">
        <v>17</v>
      </c>
      <c r="H136" s="2">
        <f>(F136/E136)*100</f>
        <v>4.6169094842745846</v>
      </c>
    </row>
    <row r="137" spans="1:8" x14ac:dyDescent="0.3">
      <c r="A137" s="2" t="s">
        <v>51</v>
      </c>
      <c r="B137" s="1">
        <v>45492</v>
      </c>
      <c r="C137" s="2" t="s">
        <v>16</v>
      </c>
      <c r="D137" s="2" t="s">
        <v>9</v>
      </c>
      <c r="E137" s="2">
        <v>870.23</v>
      </c>
      <c r="F137" s="2">
        <v>5.69</v>
      </c>
      <c r="G137" s="2">
        <v>9</v>
      </c>
      <c r="H137" s="2">
        <f>(F137/E137)*100</f>
        <v>0.65385013157441141</v>
      </c>
    </row>
    <row r="138" spans="1:8" x14ac:dyDescent="0.3">
      <c r="A138" s="2" t="s">
        <v>248</v>
      </c>
      <c r="B138" s="1">
        <v>45492</v>
      </c>
      <c r="C138" s="2" t="s">
        <v>16</v>
      </c>
      <c r="D138" s="2" t="s">
        <v>10</v>
      </c>
      <c r="E138" s="2">
        <v>4728.6400000000003</v>
      </c>
      <c r="F138" s="2">
        <v>1089.21</v>
      </c>
      <c r="G138" s="2">
        <v>19</v>
      </c>
      <c r="H138" s="2">
        <f>(F138/E138)*100</f>
        <v>23.034318535562022</v>
      </c>
    </row>
    <row r="139" spans="1:8" x14ac:dyDescent="0.3">
      <c r="A139" s="2" t="s">
        <v>29</v>
      </c>
      <c r="B139" s="1">
        <v>45494</v>
      </c>
      <c r="C139" s="2" t="s">
        <v>19</v>
      </c>
      <c r="D139" s="2" t="s">
        <v>10</v>
      </c>
      <c r="E139" s="2">
        <v>3039.29</v>
      </c>
      <c r="F139" s="2">
        <v>-20.54</v>
      </c>
      <c r="G139" s="2">
        <v>7</v>
      </c>
      <c r="H139" s="2">
        <f>(F139/E139)*100</f>
        <v>-0.67581573327981204</v>
      </c>
    </row>
    <row r="140" spans="1:8" x14ac:dyDescent="0.3">
      <c r="A140" s="2" t="s">
        <v>106</v>
      </c>
      <c r="B140" s="1">
        <v>45495</v>
      </c>
      <c r="C140" s="2" t="s">
        <v>22</v>
      </c>
      <c r="D140" s="2" t="s">
        <v>17</v>
      </c>
      <c r="E140" s="2">
        <v>4196.79</v>
      </c>
      <c r="F140" s="2">
        <v>465.51</v>
      </c>
      <c r="G140" s="2">
        <v>14</v>
      </c>
      <c r="H140" s="2">
        <f>(F140/E140)*100</f>
        <v>11.092048923105516</v>
      </c>
    </row>
    <row r="141" spans="1:8" x14ac:dyDescent="0.3">
      <c r="A141" s="2" t="s">
        <v>190</v>
      </c>
      <c r="B141" s="1">
        <v>45495</v>
      </c>
      <c r="C141" s="2" t="s">
        <v>8</v>
      </c>
      <c r="D141" s="2" t="s">
        <v>10</v>
      </c>
      <c r="E141" s="2">
        <v>4427.8999999999996</v>
      </c>
      <c r="F141" s="2">
        <v>1496.36</v>
      </c>
      <c r="G141" s="2">
        <v>19</v>
      </c>
      <c r="H141" s="2">
        <f>(F141/E141)*100</f>
        <v>33.793897784502811</v>
      </c>
    </row>
    <row r="142" spans="1:8" x14ac:dyDescent="0.3">
      <c r="A142" s="2" t="s">
        <v>193</v>
      </c>
      <c r="B142" s="1">
        <v>45498</v>
      </c>
      <c r="C142" s="2" t="s">
        <v>19</v>
      </c>
      <c r="D142" s="2" t="s">
        <v>12</v>
      </c>
      <c r="E142" s="2">
        <v>4877.43</v>
      </c>
      <c r="F142" s="2">
        <v>72.209999999999994</v>
      </c>
      <c r="G142" s="2">
        <v>9</v>
      </c>
      <c r="H142" s="2">
        <f>(F142/E142)*100</f>
        <v>1.4804928005117446</v>
      </c>
    </row>
    <row r="143" spans="1:8" x14ac:dyDescent="0.3">
      <c r="A143" s="2" t="s">
        <v>110</v>
      </c>
      <c r="B143" s="1">
        <v>45499</v>
      </c>
      <c r="C143" s="2" t="s">
        <v>19</v>
      </c>
      <c r="D143" s="2" t="s">
        <v>12</v>
      </c>
      <c r="E143" s="2">
        <v>4109.47</v>
      </c>
      <c r="F143" s="2">
        <v>610.05999999999995</v>
      </c>
      <c r="G143" s="2">
        <v>8</v>
      </c>
      <c r="H143" s="2">
        <f>(F143/E143)*100</f>
        <v>14.845223349969702</v>
      </c>
    </row>
    <row r="144" spans="1:8" x14ac:dyDescent="0.3">
      <c r="A144" s="2" t="s">
        <v>178</v>
      </c>
      <c r="B144" s="1">
        <v>45499</v>
      </c>
      <c r="C144" s="2" t="s">
        <v>8</v>
      </c>
      <c r="D144" s="2" t="s">
        <v>14</v>
      </c>
      <c r="E144" s="2">
        <v>2690.41</v>
      </c>
      <c r="F144" s="2">
        <v>856.63</v>
      </c>
      <c r="G144" s="2">
        <v>14</v>
      </c>
      <c r="H144" s="2">
        <f>(F144/E144)*100</f>
        <v>31.840128456257599</v>
      </c>
    </row>
    <row r="145" spans="1:8" x14ac:dyDescent="0.3">
      <c r="A145" s="2" t="s">
        <v>90</v>
      </c>
      <c r="B145" s="1">
        <v>45501</v>
      </c>
      <c r="C145" s="2" t="s">
        <v>19</v>
      </c>
      <c r="D145" s="2" t="s">
        <v>10</v>
      </c>
      <c r="E145" s="2">
        <v>955.48</v>
      </c>
      <c r="F145" s="2">
        <v>247.72</v>
      </c>
      <c r="G145" s="2">
        <v>20</v>
      </c>
      <c r="H145" s="2">
        <f>(F145/E145)*100</f>
        <v>25.926236027965</v>
      </c>
    </row>
    <row r="146" spans="1:8" x14ac:dyDescent="0.3">
      <c r="A146" s="2" t="s">
        <v>242</v>
      </c>
      <c r="B146" s="1">
        <v>45501</v>
      </c>
      <c r="C146" s="2" t="s">
        <v>19</v>
      </c>
      <c r="D146" s="2" t="s">
        <v>12</v>
      </c>
      <c r="E146" s="2">
        <v>839.17</v>
      </c>
      <c r="F146" s="2">
        <v>273.63</v>
      </c>
      <c r="G146" s="2">
        <v>10</v>
      </c>
      <c r="H146" s="2">
        <f>(F146/E146)*100</f>
        <v>32.60721903785884</v>
      </c>
    </row>
    <row r="147" spans="1:8" x14ac:dyDescent="0.3">
      <c r="A147" s="2" t="s">
        <v>49</v>
      </c>
      <c r="B147" s="1">
        <v>45502</v>
      </c>
      <c r="C147" s="2" t="s">
        <v>8</v>
      </c>
      <c r="D147" s="2" t="s">
        <v>12</v>
      </c>
      <c r="E147" s="2">
        <v>2424.71</v>
      </c>
      <c r="F147" s="2">
        <v>88.65</v>
      </c>
      <c r="G147" s="2">
        <v>14</v>
      </c>
      <c r="H147" s="2">
        <f>(F147/E147)*100</f>
        <v>3.6561073282990546</v>
      </c>
    </row>
    <row r="148" spans="1:8" x14ac:dyDescent="0.3">
      <c r="A148" s="2" t="s">
        <v>76</v>
      </c>
      <c r="B148" s="1">
        <v>45503</v>
      </c>
      <c r="C148" s="2" t="s">
        <v>16</v>
      </c>
      <c r="D148" s="2" t="s">
        <v>17</v>
      </c>
      <c r="E148" s="2">
        <v>4981.59</v>
      </c>
      <c r="F148" s="2">
        <v>728.44</v>
      </c>
      <c r="G148" s="2">
        <v>7</v>
      </c>
      <c r="H148" s="2">
        <f>(F148/E148)*100</f>
        <v>14.622640562551315</v>
      </c>
    </row>
    <row r="149" spans="1:8" x14ac:dyDescent="0.3">
      <c r="A149" s="2" t="s">
        <v>107</v>
      </c>
      <c r="B149" s="1">
        <v>45503</v>
      </c>
      <c r="C149" s="2" t="s">
        <v>8</v>
      </c>
      <c r="D149" s="2" t="s">
        <v>17</v>
      </c>
      <c r="E149" s="2">
        <v>4593.8999999999996</v>
      </c>
      <c r="F149" s="2">
        <v>591.54999999999995</v>
      </c>
      <c r="G149" s="2">
        <v>16</v>
      </c>
      <c r="H149" s="2">
        <f>(F149/E149)*100</f>
        <v>12.876858442717518</v>
      </c>
    </row>
    <row r="150" spans="1:8" x14ac:dyDescent="0.3">
      <c r="A150" s="2" t="s">
        <v>63</v>
      </c>
      <c r="B150" s="1">
        <v>45504</v>
      </c>
      <c r="C150" s="2" t="s">
        <v>11</v>
      </c>
      <c r="D150" s="2" t="s">
        <v>14</v>
      </c>
      <c r="E150" s="2">
        <v>2262.2800000000002</v>
      </c>
      <c r="F150" s="2">
        <v>661.85</v>
      </c>
      <c r="G150" s="2">
        <v>19</v>
      </c>
      <c r="H150" s="2">
        <f>(F150/E150)*100</f>
        <v>29.255883445020064</v>
      </c>
    </row>
    <row r="151" spans="1:8" x14ac:dyDescent="0.3">
      <c r="A151" s="2" t="s">
        <v>119</v>
      </c>
      <c r="B151" s="1">
        <v>45504</v>
      </c>
      <c r="C151" s="2" t="s">
        <v>8</v>
      </c>
      <c r="D151" s="2" t="s">
        <v>12</v>
      </c>
      <c r="E151" s="2">
        <v>1185.17</v>
      </c>
      <c r="F151" s="2">
        <v>-12.59</v>
      </c>
      <c r="G151" s="2">
        <v>7</v>
      </c>
      <c r="H151" s="2">
        <f>(F151/E151)*100</f>
        <v>-1.0622948606529019</v>
      </c>
    </row>
    <row r="152" spans="1:8" x14ac:dyDescent="0.3">
      <c r="A152" s="2" t="s">
        <v>184</v>
      </c>
      <c r="B152" s="1">
        <v>45505</v>
      </c>
      <c r="C152" s="2" t="s">
        <v>11</v>
      </c>
      <c r="D152" s="2" t="s">
        <v>10</v>
      </c>
      <c r="E152" s="2">
        <v>4409.33</v>
      </c>
      <c r="F152" s="2">
        <v>952.36</v>
      </c>
      <c r="G152" s="2">
        <v>20</v>
      </c>
      <c r="H152" s="2">
        <f>(F152/E152)*100</f>
        <v>21.598746294788551</v>
      </c>
    </row>
    <row r="153" spans="1:8" x14ac:dyDescent="0.3">
      <c r="A153" s="2" t="s">
        <v>118</v>
      </c>
      <c r="B153" s="1">
        <v>45506</v>
      </c>
      <c r="C153" s="2" t="s">
        <v>16</v>
      </c>
      <c r="D153" s="2" t="s">
        <v>10</v>
      </c>
      <c r="E153" s="2">
        <v>2799.67</v>
      </c>
      <c r="F153" s="2">
        <v>-61.12</v>
      </c>
      <c r="G153" s="2">
        <v>4</v>
      </c>
      <c r="H153" s="2">
        <f>(F153/E153)*100</f>
        <v>-2.1831144384873933</v>
      </c>
    </row>
    <row r="154" spans="1:8" x14ac:dyDescent="0.3">
      <c r="A154" s="2" t="s">
        <v>38</v>
      </c>
      <c r="B154" s="1">
        <v>45507</v>
      </c>
      <c r="C154" s="2" t="s">
        <v>11</v>
      </c>
      <c r="D154" s="2" t="s">
        <v>9</v>
      </c>
      <c r="E154" s="2">
        <v>2529.6</v>
      </c>
      <c r="F154" s="2">
        <v>845.6</v>
      </c>
      <c r="G154" s="2">
        <v>16</v>
      </c>
      <c r="H154" s="2">
        <f>(F154/E154)*100</f>
        <v>33.428209993674891</v>
      </c>
    </row>
    <row r="155" spans="1:8" x14ac:dyDescent="0.3">
      <c r="A155" s="2" t="s">
        <v>66</v>
      </c>
      <c r="B155" s="1">
        <v>45507</v>
      </c>
      <c r="C155" s="2" t="s">
        <v>8</v>
      </c>
      <c r="D155" s="2" t="s">
        <v>17</v>
      </c>
      <c r="E155" s="2">
        <v>3004.35</v>
      </c>
      <c r="F155" s="2">
        <v>45.73</v>
      </c>
      <c r="G155" s="2">
        <v>18</v>
      </c>
      <c r="H155" s="2">
        <f>(F155/E155)*100</f>
        <v>1.5221262502704411</v>
      </c>
    </row>
    <row r="156" spans="1:8" x14ac:dyDescent="0.3">
      <c r="A156" s="2" t="s">
        <v>67</v>
      </c>
      <c r="B156" s="1">
        <v>45511</v>
      </c>
      <c r="C156" s="2" t="s">
        <v>11</v>
      </c>
      <c r="D156" s="2" t="s">
        <v>10</v>
      </c>
      <c r="E156" s="2">
        <v>4538.51</v>
      </c>
      <c r="F156" s="2">
        <v>-131.69999999999999</v>
      </c>
      <c r="G156" s="2">
        <v>12</v>
      </c>
      <c r="H156" s="2">
        <f>(F156/E156)*100</f>
        <v>-2.9018334211007573</v>
      </c>
    </row>
    <row r="157" spans="1:8" x14ac:dyDescent="0.3">
      <c r="A157" s="2" t="s">
        <v>35</v>
      </c>
      <c r="B157" s="1">
        <v>45512</v>
      </c>
      <c r="C157" s="2" t="s">
        <v>16</v>
      </c>
      <c r="D157" s="2" t="s">
        <v>14</v>
      </c>
      <c r="E157" s="2">
        <v>364.71</v>
      </c>
      <c r="F157" s="2">
        <v>18</v>
      </c>
      <c r="G157" s="2">
        <v>2</v>
      </c>
      <c r="H157" s="2">
        <f>(F157/E157)*100</f>
        <v>4.9354281483918729</v>
      </c>
    </row>
    <row r="158" spans="1:8" x14ac:dyDescent="0.3">
      <c r="A158" s="2" t="s">
        <v>45</v>
      </c>
      <c r="B158" s="1">
        <v>45513</v>
      </c>
      <c r="C158" s="2" t="s">
        <v>16</v>
      </c>
      <c r="D158" s="2" t="s">
        <v>12</v>
      </c>
      <c r="E158" s="2">
        <v>4036.67</v>
      </c>
      <c r="F158" s="2">
        <v>233.14</v>
      </c>
      <c r="G158" s="2">
        <v>7</v>
      </c>
      <c r="H158" s="2">
        <f>(F158/E158)*100</f>
        <v>5.77555262134383</v>
      </c>
    </row>
    <row r="159" spans="1:8" x14ac:dyDescent="0.3">
      <c r="A159" s="2" t="s">
        <v>210</v>
      </c>
      <c r="B159" s="1">
        <v>45514</v>
      </c>
      <c r="C159" s="2" t="s">
        <v>19</v>
      </c>
      <c r="D159" s="2" t="s">
        <v>10</v>
      </c>
      <c r="E159" s="2">
        <v>3244.57</v>
      </c>
      <c r="F159" s="2">
        <v>114.01</v>
      </c>
      <c r="G159" s="2">
        <v>16</v>
      </c>
      <c r="H159" s="2">
        <f>(F159/E159)*100</f>
        <v>3.5138708673260242</v>
      </c>
    </row>
    <row r="160" spans="1:8" x14ac:dyDescent="0.3">
      <c r="A160" s="2" t="s">
        <v>232</v>
      </c>
      <c r="B160" s="1">
        <v>45514</v>
      </c>
      <c r="C160" s="2" t="s">
        <v>8</v>
      </c>
      <c r="D160" s="2" t="s">
        <v>12</v>
      </c>
      <c r="E160" s="2">
        <v>2585.09</v>
      </c>
      <c r="F160" s="2">
        <v>535.03</v>
      </c>
      <c r="G160" s="2">
        <v>20</v>
      </c>
      <c r="H160" s="2">
        <f>(F160/E160)*100</f>
        <v>20.696764909538931</v>
      </c>
    </row>
    <row r="161" spans="1:8" x14ac:dyDescent="0.3">
      <c r="A161" s="2" t="s">
        <v>138</v>
      </c>
      <c r="B161" s="1">
        <v>45515</v>
      </c>
      <c r="C161" s="2" t="s">
        <v>19</v>
      </c>
      <c r="D161" s="2" t="s">
        <v>10</v>
      </c>
      <c r="E161" s="2">
        <v>2742.54</v>
      </c>
      <c r="F161" s="2">
        <v>710.26</v>
      </c>
      <c r="G161" s="2">
        <v>20</v>
      </c>
      <c r="H161" s="2">
        <f>(F161/E161)*100</f>
        <v>25.8978902768966</v>
      </c>
    </row>
    <row r="162" spans="1:8" x14ac:dyDescent="0.3">
      <c r="A162" s="2" t="s">
        <v>252</v>
      </c>
      <c r="B162" s="1">
        <v>45516</v>
      </c>
      <c r="C162" s="2" t="s">
        <v>16</v>
      </c>
      <c r="D162" s="2" t="s">
        <v>9</v>
      </c>
      <c r="E162" s="2">
        <v>3297.35</v>
      </c>
      <c r="F162" s="2">
        <v>860.13</v>
      </c>
      <c r="G162" s="2">
        <v>14</v>
      </c>
      <c r="H162" s="2">
        <f>(F162/E162)*100</f>
        <v>26.085492895810276</v>
      </c>
    </row>
    <row r="163" spans="1:8" x14ac:dyDescent="0.3">
      <c r="A163" s="2" t="s">
        <v>130</v>
      </c>
      <c r="B163" s="1">
        <v>45519</v>
      </c>
      <c r="C163" s="2" t="s">
        <v>16</v>
      </c>
      <c r="D163" s="2" t="s">
        <v>17</v>
      </c>
      <c r="E163" s="2">
        <v>2289.87</v>
      </c>
      <c r="F163" s="2">
        <v>172.72</v>
      </c>
      <c r="G163" s="2">
        <v>14</v>
      </c>
      <c r="H163" s="2">
        <f>(F163/E163)*100</f>
        <v>7.5427862717097476</v>
      </c>
    </row>
    <row r="164" spans="1:8" x14ac:dyDescent="0.3">
      <c r="A164" s="2" t="s">
        <v>20</v>
      </c>
      <c r="B164" s="1">
        <v>45522</v>
      </c>
      <c r="C164" s="2" t="s">
        <v>19</v>
      </c>
      <c r="D164" s="2" t="s">
        <v>9</v>
      </c>
      <c r="E164" s="2">
        <v>3088.22</v>
      </c>
      <c r="F164" s="2">
        <v>271.67</v>
      </c>
      <c r="G164" s="2">
        <v>3</v>
      </c>
      <c r="H164" s="2">
        <f>(F164/E164)*100</f>
        <v>8.7969768993141706</v>
      </c>
    </row>
    <row r="165" spans="1:8" x14ac:dyDescent="0.3">
      <c r="A165" s="2" t="s">
        <v>187</v>
      </c>
      <c r="B165" s="1">
        <v>45525</v>
      </c>
      <c r="C165" s="2" t="s">
        <v>11</v>
      </c>
      <c r="D165" s="2" t="s">
        <v>17</v>
      </c>
      <c r="E165" s="2">
        <v>4715.79</v>
      </c>
      <c r="F165" s="2">
        <v>703.79</v>
      </c>
      <c r="G165" s="2">
        <v>4</v>
      </c>
      <c r="H165" s="2">
        <f>(F165/E165)*100</f>
        <v>14.924116637933411</v>
      </c>
    </row>
    <row r="166" spans="1:8" x14ac:dyDescent="0.3">
      <c r="A166" s="2" t="s">
        <v>255</v>
      </c>
      <c r="B166" s="1">
        <v>45526</v>
      </c>
      <c r="C166" s="2" t="s">
        <v>16</v>
      </c>
      <c r="D166" s="2" t="s">
        <v>10</v>
      </c>
      <c r="E166" s="2">
        <v>1098.5899999999999</v>
      </c>
      <c r="F166" s="2">
        <v>17.329999999999998</v>
      </c>
      <c r="G166" s="2">
        <v>1</v>
      </c>
      <c r="H166" s="2">
        <f>(F166/E166)*100</f>
        <v>1.5774765836208231</v>
      </c>
    </row>
    <row r="167" spans="1:8" x14ac:dyDescent="0.3">
      <c r="A167" s="2" t="s">
        <v>128</v>
      </c>
      <c r="B167" s="1">
        <v>45527</v>
      </c>
      <c r="C167" s="2" t="s">
        <v>19</v>
      </c>
      <c r="D167" s="2" t="s">
        <v>12</v>
      </c>
      <c r="E167" s="2">
        <v>2761.71</v>
      </c>
      <c r="F167" s="2">
        <v>426.25</v>
      </c>
      <c r="G167" s="2">
        <v>16</v>
      </c>
      <c r="H167" s="2">
        <f>(F167/E167)*100</f>
        <v>15.434278037882326</v>
      </c>
    </row>
    <row r="168" spans="1:8" x14ac:dyDescent="0.3">
      <c r="A168" s="2" t="s">
        <v>186</v>
      </c>
      <c r="B168" s="1">
        <v>45527</v>
      </c>
      <c r="C168" s="2" t="s">
        <v>11</v>
      </c>
      <c r="D168" s="2" t="s">
        <v>12</v>
      </c>
      <c r="E168" s="2">
        <v>3407.42</v>
      </c>
      <c r="F168" s="2">
        <v>534.71</v>
      </c>
      <c r="G168" s="2">
        <v>13</v>
      </c>
      <c r="H168" s="2">
        <f>(F168/E168)*100</f>
        <v>15.692518092867919</v>
      </c>
    </row>
    <row r="169" spans="1:8" x14ac:dyDescent="0.3">
      <c r="A169" s="2" t="s">
        <v>31</v>
      </c>
      <c r="B169" s="1">
        <v>45531</v>
      </c>
      <c r="C169" s="2" t="s">
        <v>11</v>
      </c>
      <c r="D169" s="2" t="s">
        <v>14</v>
      </c>
      <c r="E169" s="2">
        <v>3933.85</v>
      </c>
      <c r="F169" s="2">
        <v>773.27</v>
      </c>
      <c r="G169" s="2">
        <v>19</v>
      </c>
      <c r="H169" s="2">
        <f>(F169/E169)*100</f>
        <v>19.656824739123252</v>
      </c>
    </row>
    <row r="170" spans="1:8" x14ac:dyDescent="0.3">
      <c r="A170" s="2" t="s">
        <v>34</v>
      </c>
      <c r="B170" s="1">
        <v>45531</v>
      </c>
      <c r="C170" s="2" t="s">
        <v>16</v>
      </c>
      <c r="D170" s="2" t="s">
        <v>10</v>
      </c>
      <c r="E170" s="2">
        <v>2767.77</v>
      </c>
      <c r="F170" s="2">
        <v>452.01</v>
      </c>
      <c r="G170" s="2">
        <v>20</v>
      </c>
      <c r="H170" s="2">
        <f>(F170/E170)*100</f>
        <v>16.33119804029959</v>
      </c>
    </row>
    <row r="171" spans="1:8" x14ac:dyDescent="0.3">
      <c r="A171" s="2" t="s">
        <v>253</v>
      </c>
      <c r="B171" s="1">
        <v>45531</v>
      </c>
      <c r="C171" s="2" t="s">
        <v>22</v>
      </c>
      <c r="D171" s="2" t="s">
        <v>9</v>
      </c>
      <c r="E171" s="2">
        <v>4054.23</v>
      </c>
      <c r="F171" s="2">
        <v>751.68</v>
      </c>
      <c r="G171" s="2">
        <v>1</v>
      </c>
      <c r="H171" s="2">
        <f>(F171/E171)*100</f>
        <v>18.540635336426398</v>
      </c>
    </row>
    <row r="172" spans="1:8" x14ac:dyDescent="0.3">
      <c r="A172" s="2" t="s">
        <v>245</v>
      </c>
      <c r="B172" s="1">
        <v>45532</v>
      </c>
      <c r="C172" s="2" t="s">
        <v>8</v>
      </c>
      <c r="D172" s="2" t="s">
        <v>9</v>
      </c>
      <c r="E172" s="2">
        <v>2135.41</v>
      </c>
      <c r="F172" s="2">
        <v>-43.27</v>
      </c>
      <c r="G172" s="2">
        <v>3</v>
      </c>
      <c r="H172" s="2">
        <f>(F172/E172)*100</f>
        <v>-2.0263087650615108</v>
      </c>
    </row>
    <row r="173" spans="1:8" x14ac:dyDescent="0.3">
      <c r="A173" s="2" t="s">
        <v>47</v>
      </c>
      <c r="B173" s="1">
        <v>45533</v>
      </c>
      <c r="C173" s="2" t="s">
        <v>22</v>
      </c>
      <c r="D173" s="2" t="s">
        <v>14</v>
      </c>
      <c r="E173" s="2">
        <v>959.02</v>
      </c>
      <c r="F173" s="2">
        <v>42.24</v>
      </c>
      <c r="G173" s="2">
        <v>15</v>
      </c>
      <c r="H173" s="2">
        <f>(F173/E173)*100</f>
        <v>4.4044962565952739</v>
      </c>
    </row>
    <row r="174" spans="1:8" x14ac:dyDescent="0.3">
      <c r="A174" s="2" t="s">
        <v>23</v>
      </c>
      <c r="B174" s="1">
        <v>45536</v>
      </c>
      <c r="C174" s="2" t="s">
        <v>16</v>
      </c>
      <c r="D174" s="2" t="s">
        <v>12</v>
      </c>
      <c r="E174" s="2">
        <v>1617.21</v>
      </c>
      <c r="F174" s="2">
        <v>444.07</v>
      </c>
      <c r="G174" s="2">
        <v>13</v>
      </c>
      <c r="H174" s="2">
        <f>(F174/E174)*100</f>
        <v>27.459018927659361</v>
      </c>
    </row>
    <row r="175" spans="1:8" x14ac:dyDescent="0.3">
      <c r="A175" s="2" t="s">
        <v>43</v>
      </c>
      <c r="B175" s="1">
        <v>45538</v>
      </c>
      <c r="C175" s="2" t="s">
        <v>16</v>
      </c>
      <c r="D175" s="2" t="s">
        <v>12</v>
      </c>
      <c r="E175" s="2">
        <v>948.24</v>
      </c>
      <c r="F175" s="2">
        <v>323.83999999999997</v>
      </c>
      <c r="G175" s="2">
        <v>12</v>
      </c>
      <c r="H175" s="2">
        <f>(F175/E175)*100</f>
        <v>34.151691554880621</v>
      </c>
    </row>
    <row r="176" spans="1:8" x14ac:dyDescent="0.3">
      <c r="A176" s="2" t="s">
        <v>140</v>
      </c>
      <c r="B176" s="1">
        <v>45538</v>
      </c>
      <c r="C176" s="2" t="s">
        <v>19</v>
      </c>
      <c r="D176" s="2" t="s">
        <v>10</v>
      </c>
      <c r="E176" s="2">
        <v>3567.34</v>
      </c>
      <c r="F176" s="2">
        <v>102.5</v>
      </c>
      <c r="G176" s="2">
        <v>2</v>
      </c>
      <c r="H176" s="2">
        <f>(F176/E176)*100</f>
        <v>2.8732893416383072</v>
      </c>
    </row>
    <row r="177" spans="1:8" x14ac:dyDescent="0.3">
      <c r="A177" s="2" t="s">
        <v>173</v>
      </c>
      <c r="B177" s="1">
        <v>45538</v>
      </c>
      <c r="C177" s="2" t="s">
        <v>8</v>
      </c>
      <c r="D177" s="2" t="s">
        <v>14</v>
      </c>
      <c r="E177" s="2">
        <v>372.16</v>
      </c>
      <c r="F177" s="2">
        <v>11.3</v>
      </c>
      <c r="G177" s="2">
        <v>6</v>
      </c>
      <c r="H177" s="2">
        <f>(F177/E177)*100</f>
        <v>3.036328460877042</v>
      </c>
    </row>
    <row r="178" spans="1:8" x14ac:dyDescent="0.3">
      <c r="A178" s="2" t="s">
        <v>251</v>
      </c>
      <c r="B178" s="1">
        <v>45540</v>
      </c>
      <c r="C178" s="2" t="s">
        <v>11</v>
      </c>
      <c r="D178" s="2" t="s">
        <v>12</v>
      </c>
      <c r="E178" s="2">
        <v>1240.48</v>
      </c>
      <c r="F178" s="2">
        <v>189.53</v>
      </c>
      <c r="G178" s="2">
        <v>14</v>
      </c>
      <c r="H178" s="2">
        <f>(F178/E178)*100</f>
        <v>15.278763059460854</v>
      </c>
    </row>
    <row r="179" spans="1:8" x14ac:dyDescent="0.3">
      <c r="A179" s="2" t="s">
        <v>261</v>
      </c>
      <c r="B179" s="1">
        <v>45540</v>
      </c>
      <c r="C179" s="2" t="s">
        <v>11</v>
      </c>
      <c r="D179" s="2" t="s">
        <v>14</v>
      </c>
      <c r="E179" s="2">
        <v>2481.39</v>
      </c>
      <c r="F179" s="2">
        <v>692.11</v>
      </c>
      <c r="G179" s="2">
        <v>6</v>
      </c>
      <c r="H179" s="2">
        <f>(F179/E179)*100</f>
        <v>27.8920282583552</v>
      </c>
    </row>
    <row r="180" spans="1:8" x14ac:dyDescent="0.3">
      <c r="A180" s="2" t="s">
        <v>241</v>
      </c>
      <c r="B180" s="1">
        <v>45541</v>
      </c>
      <c r="C180" s="2" t="s">
        <v>22</v>
      </c>
      <c r="D180" s="2" t="s">
        <v>9</v>
      </c>
      <c r="E180" s="2">
        <v>423.92</v>
      </c>
      <c r="F180" s="2">
        <v>47.91</v>
      </c>
      <c r="G180" s="2">
        <v>11</v>
      </c>
      <c r="H180" s="2">
        <f>(F180/E180)*100</f>
        <v>11.301660690696357</v>
      </c>
    </row>
    <row r="181" spans="1:8" x14ac:dyDescent="0.3">
      <c r="A181" s="2" t="s">
        <v>39</v>
      </c>
      <c r="B181" s="1">
        <v>45542</v>
      </c>
      <c r="C181" s="2" t="s">
        <v>22</v>
      </c>
      <c r="D181" s="2" t="s">
        <v>17</v>
      </c>
      <c r="E181" s="2">
        <v>3518.12</v>
      </c>
      <c r="F181" s="2">
        <v>170.63</v>
      </c>
      <c r="G181" s="2">
        <v>9</v>
      </c>
      <c r="H181" s="2">
        <f>(F181/E181)*100</f>
        <v>4.8500335406410242</v>
      </c>
    </row>
    <row r="182" spans="1:8" x14ac:dyDescent="0.3">
      <c r="A182" s="2" t="s">
        <v>226</v>
      </c>
      <c r="B182" s="1">
        <v>45543</v>
      </c>
      <c r="C182" s="2" t="s">
        <v>11</v>
      </c>
      <c r="D182" s="2" t="s">
        <v>17</v>
      </c>
      <c r="E182" s="2">
        <v>4455.28</v>
      </c>
      <c r="F182" s="2">
        <v>889.22</v>
      </c>
      <c r="G182" s="2">
        <v>3</v>
      </c>
      <c r="H182" s="2">
        <f>(F182/E182)*100</f>
        <v>19.958790468836977</v>
      </c>
    </row>
    <row r="183" spans="1:8" x14ac:dyDescent="0.3">
      <c r="A183" s="2" t="s">
        <v>72</v>
      </c>
      <c r="B183" s="1">
        <v>45544</v>
      </c>
      <c r="C183" s="2" t="s">
        <v>16</v>
      </c>
      <c r="D183" s="2" t="s">
        <v>10</v>
      </c>
      <c r="E183" s="2">
        <v>3743.02</v>
      </c>
      <c r="F183" s="2">
        <v>-101.4</v>
      </c>
      <c r="G183" s="2">
        <v>13</v>
      </c>
      <c r="H183" s="2">
        <f>(F183/E183)*100</f>
        <v>-2.7090424309781942</v>
      </c>
    </row>
    <row r="184" spans="1:8" x14ac:dyDescent="0.3">
      <c r="A184" s="2" t="s">
        <v>103</v>
      </c>
      <c r="B184" s="1">
        <v>45547</v>
      </c>
      <c r="C184" s="2" t="s">
        <v>16</v>
      </c>
      <c r="D184" s="2" t="s">
        <v>10</v>
      </c>
      <c r="E184" s="2">
        <v>4010.89</v>
      </c>
      <c r="F184" s="2">
        <v>1128.72</v>
      </c>
      <c r="G184" s="2">
        <v>18</v>
      </c>
      <c r="H184" s="2">
        <f>(F184/E184)*100</f>
        <v>28.141385079122095</v>
      </c>
    </row>
    <row r="185" spans="1:8" x14ac:dyDescent="0.3">
      <c r="A185" s="2" t="s">
        <v>113</v>
      </c>
      <c r="B185" s="1">
        <v>45549</v>
      </c>
      <c r="C185" s="2" t="s">
        <v>22</v>
      </c>
      <c r="D185" s="2" t="s">
        <v>10</v>
      </c>
      <c r="E185" s="2">
        <v>2838.44</v>
      </c>
      <c r="F185" s="2">
        <v>985.91</v>
      </c>
      <c r="G185" s="2">
        <v>1</v>
      </c>
      <c r="H185" s="2">
        <f>(F185/E185)*100</f>
        <v>34.734220205464972</v>
      </c>
    </row>
    <row r="186" spans="1:8" x14ac:dyDescent="0.3">
      <c r="A186" s="2" t="s">
        <v>236</v>
      </c>
      <c r="B186" s="1">
        <v>45549</v>
      </c>
      <c r="C186" s="2" t="s">
        <v>11</v>
      </c>
      <c r="D186" s="2" t="s">
        <v>12</v>
      </c>
      <c r="E186" s="2">
        <v>1589.63</v>
      </c>
      <c r="F186" s="2">
        <v>152.12</v>
      </c>
      <c r="G186" s="2">
        <v>18</v>
      </c>
      <c r="H186" s="2">
        <f>(F186/E186)*100</f>
        <v>9.5695224674924351</v>
      </c>
    </row>
    <row r="187" spans="1:8" x14ac:dyDescent="0.3">
      <c r="A187" s="2" t="s">
        <v>121</v>
      </c>
      <c r="B187" s="1">
        <v>45550</v>
      </c>
      <c r="C187" s="2" t="s">
        <v>11</v>
      </c>
      <c r="D187" s="2" t="s">
        <v>17</v>
      </c>
      <c r="E187" s="2">
        <v>2026.06</v>
      </c>
      <c r="F187" s="2">
        <v>190.55</v>
      </c>
      <c r="G187" s="2">
        <v>16</v>
      </c>
      <c r="H187" s="2">
        <f>(F187/E187)*100</f>
        <v>9.4049534564622981</v>
      </c>
    </row>
    <row r="188" spans="1:8" x14ac:dyDescent="0.3">
      <c r="A188" s="2" t="s">
        <v>95</v>
      </c>
      <c r="B188" s="1">
        <v>45551</v>
      </c>
      <c r="C188" s="2" t="s">
        <v>22</v>
      </c>
      <c r="D188" s="2" t="s">
        <v>17</v>
      </c>
      <c r="E188" s="2">
        <v>4937.8999999999996</v>
      </c>
      <c r="F188" s="2">
        <v>1066.69</v>
      </c>
      <c r="G188" s="2">
        <v>4</v>
      </c>
      <c r="H188" s="2">
        <f>(F188/E188)*100</f>
        <v>21.602098057878859</v>
      </c>
    </row>
    <row r="189" spans="1:8" x14ac:dyDescent="0.3">
      <c r="A189" s="2" t="s">
        <v>102</v>
      </c>
      <c r="B189" s="1">
        <v>45552</v>
      </c>
      <c r="C189" s="2" t="s">
        <v>8</v>
      </c>
      <c r="D189" s="2" t="s">
        <v>12</v>
      </c>
      <c r="E189" s="2">
        <v>2971.29</v>
      </c>
      <c r="F189" s="2">
        <v>696.9</v>
      </c>
      <c r="G189" s="2">
        <v>20</v>
      </c>
      <c r="H189" s="2">
        <f>(F189/E189)*100</f>
        <v>23.45445917429803</v>
      </c>
    </row>
    <row r="190" spans="1:8" x14ac:dyDescent="0.3">
      <c r="A190" s="2" t="s">
        <v>157</v>
      </c>
      <c r="B190" s="1">
        <v>45552</v>
      </c>
      <c r="C190" s="2" t="s">
        <v>19</v>
      </c>
      <c r="D190" s="2" t="s">
        <v>9</v>
      </c>
      <c r="E190" s="2">
        <v>740.58</v>
      </c>
      <c r="F190" s="2">
        <v>168.3</v>
      </c>
      <c r="G190" s="2">
        <v>8</v>
      </c>
      <c r="H190" s="2">
        <f>(F190/E190)*100</f>
        <v>22.725431418617838</v>
      </c>
    </row>
    <row r="191" spans="1:8" x14ac:dyDescent="0.3">
      <c r="A191" s="2" t="s">
        <v>204</v>
      </c>
      <c r="B191" s="1">
        <v>45552</v>
      </c>
      <c r="C191" s="2" t="s">
        <v>16</v>
      </c>
      <c r="D191" s="2" t="s">
        <v>12</v>
      </c>
      <c r="E191" s="2">
        <v>3384.04</v>
      </c>
      <c r="F191" s="2">
        <v>607.76</v>
      </c>
      <c r="G191" s="2">
        <v>8</v>
      </c>
      <c r="H191" s="2">
        <f>(F191/E191)*100</f>
        <v>17.959598586305127</v>
      </c>
    </row>
    <row r="192" spans="1:8" x14ac:dyDescent="0.3">
      <c r="A192" s="2" t="s">
        <v>234</v>
      </c>
      <c r="B192" s="1">
        <v>45554</v>
      </c>
      <c r="C192" s="2" t="s">
        <v>11</v>
      </c>
      <c r="D192" s="2" t="s">
        <v>14</v>
      </c>
      <c r="E192" s="2">
        <v>894.83</v>
      </c>
      <c r="F192" s="2">
        <v>287.26</v>
      </c>
      <c r="G192" s="2">
        <v>3</v>
      </c>
      <c r="H192" s="2">
        <f>(F192/E192)*100</f>
        <v>32.102187007588029</v>
      </c>
    </row>
    <row r="193" spans="1:8" x14ac:dyDescent="0.3">
      <c r="A193" s="2" t="s">
        <v>36</v>
      </c>
      <c r="B193" s="1">
        <v>45555</v>
      </c>
      <c r="C193" s="2" t="s">
        <v>19</v>
      </c>
      <c r="D193" s="2" t="s">
        <v>17</v>
      </c>
      <c r="E193" s="2">
        <v>2028.28</v>
      </c>
      <c r="F193" s="2">
        <v>588.42999999999995</v>
      </c>
      <c r="G193" s="2">
        <v>1</v>
      </c>
      <c r="H193" s="2">
        <f>(F193/E193)*100</f>
        <v>29.01128049381742</v>
      </c>
    </row>
    <row r="194" spans="1:8" x14ac:dyDescent="0.3">
      <c r="A194" s="2" t="s">
        <v>59</v>
      </c>
      <c r="B194" s="1">
        <v>45555</v>
      </c>
      <c r="C194" s="2" t="s">
        <v>19</v>
      </c>
      <c r="D194" s="2" t="s">
        <v>9</v>
      </c>
      <c r="E194" s="2">
        <v>3440.01</v>
      </c>
      <c r="F194" s="2">
        <v>283.70999999999998</v>
      </c>
      <c r="G194" s="2">
        <v>3</v>
      </c>
      <c r="H194" s="2">
        <f>(F194/E194)*100</f>
        <v>8.2473597460472483</v>
      </c>
    </row>
    <row r="195" spans="1:8" x14ac:dyDescent="0.3">
      <c r="A195" s="2" t="s">
        <v>80</v>
      </c>
      <c r="B195" s="1">
        <v>45556</v>
      </c>
      <c r="C195" s="2" t="s">
        <v>16</v>
      </c>
      <c r="D195" s="2" t="s">
        <v>14</v>
      </c>
      <c r="E195" s="2">
        <v>2253.12</v>
      </c>
      <c r="F195" s="2">
        <v>713.25</v>
      </c>
      <c r="G195" s="2">
        <v>13</v>
      </c>
      <c r="H195" s="2">
        <f>(F195/E195)*100</f>
        <v>31.656103536429487</v>
      </c>
    </row>
    <row r="196" spans="1:8" x14ac:dyDescent="0.3">
      <c r="A196" s="2" t="s">
        <v>115</v>
      </c>
      <c r="B196" s="1">
        <v>45556</v>
      </c>
      <c r="C196" s="2" t="s">
        <v>19</v>
      </c>
      <c r="D196" s="2" t="s">
        <v>14</v>
      </c>
      <c r="E196" s="2">
        <v>2337.35</v>
      </c>
      <c r="F196" s="2">
        <v>183.51</v>
      </c>
      <c r="G196" s="2">
        <v>5</v>
      </c>
      <c r="H196" s="2">
        <f>(F196/E196)*100</f>
        <v>7.8511990074229363</v>
      </c>
    </row>
    <row r="197" spans="1:8" x14ac:dyDescent="0.3">
      <c r="A197" s="2" t="s">
        <v>104</v>
      </c>
      <c r="B197" s="1">
        <v>45557</v>
      </c>
      <c r="C197" s="2" t="s">
        <v>8</v>
      </c>
      <c r="D197" s="2" t="s">
        <v>10</v>
      </c>
      <c r="E197" s="2">
        <v>3312.92</v>
      </c>
      <c r="F197" s="2">
        <v>-117.07</v>
      </c>
      <c r="G197" s="2">
        <v>11</v>
      </c>
      <c r="H197" s="2">
        <f>(F197/E197)*100</f>
        <v>-3.5337406276034433</v>
      </c>
    </row>
    <row r="198" spans="1:8" x14ac:dyDescent="0.3">
      <c r="A198" s="2" t="s">
        <v>46</v>
      </c>
      <c r="B198" s="1">
        <v>45558</v>
      </c>
      <c r="C198" s="2" t="s">
        <v>11</v>
      </c>
      <c r="D198" s="2" t="s">
        <v>17</v>
      </c>
      <c r="E198" s="2">
        <v>908.59</v>
      </c>
      <c r="F198" s="2">
        <v>147.31</v>
      </c>
      <c r="G198" s="2">
        <v>14</v>
      </c>
      <c r="H198" s="2">
        <f>(F198/E198)*100</f>
        <v>16.213033381393146</v>
      </c>
    </row>
    <row r="199" spans="1:8" x14ac:dyDescent="0.3">
      <c r="A199" s="2" t="s">
        <v>86</v>
      </c>
      <c r="B199" s="1">
        <v>45558</v>
      </c>
      <c r="C199" s="2" t="s">
        <v>16</v>
      </c>
      <c r="D199" s="2" t="s">
        <v>17</v>
      </c>
      <c r="E199" s="2">
        <v>1416.06</v>
      </c>
      <c r="F199" s="2">
        <v>86.72</v>
      </c>
      <c r="G199" s="2">
        <v>15</v>
      </c>
      <c r="H199" s="2">
        <f>(F199/E199)*100</f>
        <v>6.1240342923322455</v>
      </c>
    </row>
    <row r="200" spans="1:8" x14ac:dyDescent="0.3">
      <c r="A200" s="2" t="s">
        <v>65</v>
      </c>
      <c r="B200" s="1">
        <v>45560</v>
      </c>
      <c r="C200" s="2" t="s">
        <v>16</v>
      </c>
      <c r="D200" s="2" t="s">
        <v>14</v>
      </c>
      <c r="E200" s="2">
        <v>548.44000000000005</v>
      </c>
      <c r="F200" s="2">
        <v>23.06</v>
      </c>
      <c r="G200" s="2">
        <v>14</v>
      </c>
      <c r="H200" s="2">
        <f>(F200/E200)*100</f>
        <v>4.2046531981620587</v>
      </c>
    </row>
    <row r="201" spans="1:8" x14ac:dyDescent="0.3">
      <c r="A201" s="2" t="s">
        <v>52</v>
      </c>
      <c r="B201" s="1">
        <v>45561</v>
      </c>
      <c r="C201" s="2" t="s">
        <v>16</v>
      </c>
      <c r="D201" s="2" t="s">
        <v>14</v>
      </c>
      <c r="E201" s="2">
        <v>2813.51</v>
      </c>
      <c r="F201" s="2">
        <v>431.95</v>
      </c>
      <c r="G201" s="2">
        <v>7</v>
      </c>
      <c r="H201" s="2">
        <f>(F201/E201)*100</f>
        <v>15.352708893872776</v>
      </c>
    </row>
    <row r="202" spans="1:8" x14ac:dyDescent="0.3">
      <c r="A202" s="2" t="s">
        <v>146</v>
      </c>
      <c r="B202" s="1">
        <v>45562</v>
      </c>
      <c r="C202" s="2" t="s">
        <v>16</v>
      </c>
      <c r="D202" s="2" t="s">
        <v>12</v>
      </c>
      <c r="E202" s="2">
        <v>212.54</v>
      </c>
      <c r="F202" s="2">
        <v>43.6</v>
      </c>
      <c r="G202" s="2">
        <v>3</v>
      </c>
      <c r="H202" s="2">
        <f>(F202/E202)*100</f>
        <v>20.513785640350051</v>
      </c>
    </row>
    <row r="203" spans="1:8" x14ac:dyDescent="0.3">
      <c r="A203" s="2" t="s">
        <v>203</v>
      </c>
      <c r="B203" s="1">
        <v>45565</v>
      </c>
      <c r="C203" s="2" t="s">
        <v>8</v>
      </c>
      <c r="D203" s="2" t="s">
        <v>14</v>
      </c>
      <c r="E203" s="2">
        <v>1886.24</v>
      </c>
      <c r="F203" s="2">
        <v>246.75</v>
      </c>
      <c r="G203" s="2">
        <v>2</v>
      </c>
      <c r="H203" s="2">
        <f>(F203/E203)*100</f>
        <v>13.081580286707947</v>
      </c>
    </row>
    <row r="204" spans="1:8" x14ac:dyDescent="0.3">
      <c r="A204" s="2" t="s">
        <v>26</v>
      </c>
      <c r="B204" s="1">
        <v>45568</v>
      </c>
      <c r="C204" s="2" t="s">
        <v>19</v>
      </c>
      <c r="D204" s="2" t="s">
        <v>12</v>
      </c>
      <c r="E204" s="2">
        <v>762.98</v>
      </c>
      <c r="F204" s="2">
        <v>-3.46</v>
      </c>
      <c r="G204" s="2">
        <v>12</v>
      </c>
      <c r="H204" s="2">
        <f>(F204/E204)*100</f>
        <v>-0.45348501926656004</v>
      </c>
    </row>
    <row r="205" spans="1:8" x14ac:dyDescent="0.3">
      <c r="A205" s="2" t="s">
        <v>262</v>
      </c>
      <c r="B205" s="1">
        <v>45569</v>
      </c>
      <c r="C205" s="2" t="s">
        <v>8</v>
      </c>
      <c r="D205" s="2" t="s">
        <v>12</v>
      </c>
      <c r="E205" s="2">
        <v>3494.65</v>
      </c>
      <c r="F205" s="2">
        <v>383.58</v>
      </c>
      <c r="G205" s="2">
        <v>17</v>
      </c>
      <c r="H205" s="2">
        <f>(F205/E205)*100</f>
        <v>10.976206487058789</v>
      </c>
    </row>
    <row r="206" spans="1:8" x14ac:dyDescent="0.3">
      <c r="A206" s="2" t="s">
        <v>81</v>
      </c>
      <c r="B206" s="1">
        <v>45571</v>
      </c>
      <c r="C206" s="2" t="s">
        <v>8</v>
      </c>
      <c r="D206" s="2" t="s">
        <v>9</v>
      </c>
      <c r="E206" s="2">
        <v>951.74</v>
      </c>
      <c r="F206" s="2">
        <v>-35.950000000000003</v>
      </c>
      <c r="G206" s="2">
        <v>14</v>
      </c>
      <c r="H206" s="2">
        <f>(F206/E206)*100</f>
        <v>-3.7772921175951422</v>
      </c>
    </row>
    <row r="207" spans="1:8" x14ac:dyDescent="0.3">
      <c r="A207" s="2" t="s">
        <v>201</v>
      </c>
      <c r="B207" s="1">
        <v>45572</v>
      </c>
      <c r="C207" s="2" t="s">
        <v>22</v>
      </c>
      <c r="D207" s="2" t="s">
        <v>12</v>
      </c>
      <c r="E207" s="2">
        <v>4783.74</v>
      </c>
      <c r="F207" s="2">
        <v>-192.2</v>
      </c>
      <c r="G207" s="2">
        <v>10</v>
      </c>
      <c r="H207" s="2">
        <f>(F207/E207)*100</f>
        <v>-4.0177768858675433</v>
      </c>
    </row>
    <row r="208" spans="1:8" x14ac:dyDescent="0.3">
      <c r="A208" s="2" t="s">
        <v>246</v>
      </c>
      <c r="B208" s="1">
        <v>45574</v>
      </c>
      <c r="C208" s="2" t="s">
        <v>19</v>
      </c>
      <c r="D208" s="2" t="s">
        <v>10</v>
      </c>
      <c r="E208" s="2">
        <v>4436.5</v>
      </c>
      <c r="F208" s="2">
        <v>49.73</v>
      </c>
      <c r="G208" s="2">
        <v>10</v>
      </c>
      <c r="H208" s="2">
        <f>(F208/E208)*100</f>
        <v>1.1209286599797137</v>
      </c>
    </row>
    <row r="209" spans="1:8" x14ac:dyDescent="0.3">
      <c r="A209" s="2" t="s">
        <v>73</v>
      </c>
      <c r="B209" s="1">
        <v>45577</v>
      </c>
      <c r="C209" s="2" t="s">
        <v>11</v>
      </c>
      <c r="D209" s="2" t="s">
        <v>12</v>
      </c>
      <c r="E209" s="2">
        <v>2690.7</v>
      </c>
      <c r="F209" s="2">
        <v>669.17</v>
      </c>
      <c r="G209" s="2">
        <v>15</v>
      </c>
      <c r="H209" s="2">
        <f>(F209/E209)*100</f>
        <v>24.869736499795593</v>
      </c>
    </row>
    <row r="210" spans="1:8" x14ac:dyDescent="0.3">
      <c r="A210" s="2" t="s">
        <v>135</v>
      </c>
      <c r="B210" s="1">
        <v>45577</v>
      </c>
      <c r="C210" s="2" t="s">
        <v>22</v>
      </c>
      <c r="D210" s="2" t="s">
        <v>17</v>
      </c>
      <c r="E210" s="2">
        <v>3790.87</v>
      </c>
      <c r="F210" s="2">
        <v>357.73</v>
      </c>
      <c r="G210" s="2">
        <v>16</v>
      </c>
      <c r="H210" s="2">
        <f>(F210/E210)*100</f>
        <v>9.4366200898474499</v>
      </c>
    </row>
    <row r="211" spans="1:8" x14ac:dyDescent="0.3">
      <c r="A211" s="2" t="s">
        <v>191</v>
      </c>
      <c r="B211" s="1">
        <v>45577</v>
      </c>
      <c r="C211" s="2" t="s">
        <v>16</v>
      </c>
      <c r="D211" s="2" t="s">
        <v>9</v>
      </c>
      <c r="E211" s="2">
        <v>3391.08</v>
      </c>
      <c r="F211" s="2">
        <v>1118.1600000000001</v>
      </c>
      <c r="G211" s="2">
        <v>14</v>
      </c>
      <c r="H211" s="2">
        <f>(F211/E211)*100</f>
        <v>32.973565943593201</v>
      </c>
    </row>
    <row r="212" spans="1:8" x14ac:dyDescent="0.3">
      <c r="A212" s="2" t="s">
        <v>50</v>
      </c>
      <c r="B212" s="1">
        <v>45578</v>
      </c>
      <c r="C212" s="2" t="s">
        <v>19</v>
      </c>
      <c r="D212" s="2" t="s">
        <v>12</v>
      </c>
      <c r="E212" s="2">
        <v>2092.64</v>
      </c>
      <c r="F212" s="2">
        <v>268.98</v>
      </c>
      <c r="G212" s="2">
        <v>3</v>
      </c>
      <c r="H212" s="2">
        <f>(F212/E212)*100</f>
        <v>12.85362030736295</v>
      </c>
    </row>
    <row r="213" spans="1:8" x14ac:dyDescent="0.3">
      <c r="A213" s="2" t="s">
        <v>30</v>
      </c>
      <c r="B213" s="1">
        <v>45582</v>
      </c>
      <c r="C213" s="2" t="s">
        <v>22</v>
      </c>
      <c r="D213" s="2" t="s">
        <v>9</v>
      </c>
      <c r="E213" s="2">
        <v>1709.25</v>
      </c>
      <c r="F213" s="2">
        <v>387.18</v>
      </c>
      <c r="G213" s="2">
        <v>16</v>
      </c>
      <c r="H213" s="2">
        <f>(F213/E213)*100</f>
        <v>22.652040368582714</v>
      </c>
    </row>
    <row r="214" spans="1:8" x14ac:dyDescent="0.3">
      <c r="A214" s="2" t="s">
        <v>54</v>
      </c>
      <c r="B214" s="1">
        <v>45582</v>
      </c>
      <c r="C214" s="2" t="s">
        <v>19</v>
      </c>
      <c r="D214" s="2" t="s">
        <v>10</v>
      </c>
      <c r="E214" s="2">
        <v>2675.38</v>
      </c>
      <c r="F214" s="2">
        <v>-69.95</v>
      </c>
      <c r="G214" s="2">
        <v>15</v>
      </c>
      <c r="H214" s="2">
        <f>(F214/E214)*100</f>
        <v>-2.6145818537927323</v>
      </c>
    </row>
    <row r="215" spans="1:8" x14ac:dyDescent="0.3">
      <c r="A215" s="2" t="s">
        <v>219</v>
      </c>
      <c r="B215" s="1">
        <v>45583</v>
      </c>
      <c r="C215" s="2" t="s">
        <v>16</v>
      </c>
      <c r="D215" s="2" t="s">
        <v>14</v>
      </c>
      <c r="E215" s="2">
        <v>2934.1</v>
      </c>
      <c r="F215" s="2">
        <v>432.85</v>
      </c>
      <c r="G215" s="2">
        <v>11</v>
      </c>
      <c r="H215" s="2">
        <f>(F215/E215)*100</f>
        <v>14.752394260590984</v>
      </c>
    </row>
    <row r="216" spans="1:8" x14ac:dyDescent="0.3">
      <c r="A216" s="2" t="s">
        <v>228</v>
      </c>
      <c r="B216" s="1">
        <v>45584</v>
      </c>
      <c r="C216" s="2" t="s">
        <v>8</v>
      </c>
      <c r="D216" s="2" t="s">
        <v>10</v>
      </c>
      <c r="E216" s="2">
        <v>4871.1899999999996</v>
      </c>
      <c r="F216" s="2">
        <v>307.58999999999997</v>
      </c>
      <c r="G216" s="2">
        <v>15</v>
      </c>
      <c r="H216" s="2">
        <f>(F216/E216)*100</f>
        <v>6.3144734654160484</v>
      </c>
    </row>
    <row r="217" spans="1:8" x14ac:dyDescent="0.3">
      <c r="A217" s="2" t="s">
        <v>33</v>
      </c>
      <c r="B217" s="1">
        <v>45587</v>
      </c>
      <c r="C217" s="2" t="s">
        <v>22</v>
      </c>
      <c r="D217" s="2" t="s">
        <v>12</v>
      </c>
      <c r="E217" s="2">
        <v>4694.6499999999996</v>
      </c>
      <c r="F217" s="2">
        <v>-163</v>
      </c>
      <c r="G217" s="2">
        <v>1</v>
      </c>
      <c r="H217" s="2">
        <f>(F217/E217)*100</f>
        <v>-3.4720373190759699</v>
      </c>
    </row>
    <row r="218" spans="1:8" x14ac:dyDescent="0.3">
      <c r="A218" s="2" t="s">
        <v>196</v>
      </c>
      <c r="B218" s="1">
        <v>45587</v>
      </c>
      <c r="C218" s="2" t="s">
        <v>16</v>
      </c>
      <c r="D218" s="2" t="s">
        <v>14</v>
      </c>
      <c r="E218" s="2">
        <v>1987.48</v>
      </c>
      <c r="F218" s="2">
        <v>-58.4</v>
      </c>
      <c r="G218" s="2">
        <v>12</v>
      </c>
      <c r="H218" s="2">
        <f>(F218/E218)*100</f>
        <v>-2.938394348622376</v>
      </c>
    </row>
    <row r="219" spans="1:8" x14ac:dyDescent="0.3">
      <c r="A219" s="2" t="s">
        <v>68</v>
      </c>
      <c r="B219" s="1">
        <v>45588</v>
      </c>
      <c r="C219" s="2" t="s">
        <v>19</v>
      </c>
      <c r="D219" s="2" t="s">
        <v>12</v>
      </c>
      <c r="E219" s="2">
        <v>1319.32</v>
      </c>
      <c r="F219" s="2">
        <v>141</v>
      </c>
      <c r="G219" s="2">
        <v>19</v>
      </c>
      <c r="H219" s="2">
        <f>(F219/E219)*100</f>
        <v>10.687323772852682</v>
      </c>
    </row>
    <row r="220" spans="1:8" x14ac:dyDescent="0.3">
      <c r="A220" s="2" t="s">
        <v>194</v>
      </c>
      <c r="B220" s="1">
        <v>45591</v>
      </c>
      <c r="C220" s="2" t="s">
        <v>8</v>
      </c>
      <c r="D220" s="2" t="s">
        <v>12</v>
      </c>
      <c r="E220" s="2">
        <v>2236.86</v>
      </c>
      <c r="F220" s="2">
        <v>774.71</v>
      </c>
      <c r="G220" s="2">
        <v>12</v>
      </c>
      <c r="H220" s="2">
        <f>(F220/E220)*100</f>
        <v>34.633817047110682</v>
      </c>
    </row>
    <row r="221" spans="1:8" x14ac:dyDescent="0.3">
      <c r="A221" s="2" t="s">
        <v>205</v>
      </c>
      <c r="B221" s="1">
        <v>45595</v>
      </c>
      <c r="C221" s="2" t="s">
        <v>22</v>
      </c>
      <c r="D221" s="2" t="s">
        <v>10</v>
      </c>
      <c r="E221" s="2">
        <v>515.84</v>
      </c>
      <c r="F221" s="2">
        <v>106.22</v>
      </c>
      <c r="G221" s="2">
        <v>13</v>
      </c>
      <c r="H221" s="2">
        <f>(F221/E221)*100</f>
        <v>20.591656327543422</v>
      </c>
    </row>
    <row r="222" spans="1:8" x14ac:dyDescent="0.3">
      <c r="A222" s="2" t="s">
        <v>40</v>
      </c>
      <c r="B222" s="1">
        <v>45602</v>
      </c>
      <c r="C222" s="2" t="s">
        <v>22</v>
      </c>
      <c r="D222" s="2" t="s">
        <v>17</v>
      </c>
      <c r="E222" s="2">
        <v>141.88999999999999</v>
      </c>
      <c r="F222" s="2">
        <v>37.21</v>
      </c>
      <c r="G222" s="2">
        <v>5</v>
      </c>
      <c r="H222" s="2">
        <f>(F222/E222)*100</f>
        <v>26.224540136725636</v>
      </c>
    </row>
    <row r="223" spans="1:8" x14ac:dyDescent="0.3">
      <c r="A223" s="2" t="s">
        <v>48</v>
      </c>
      <c r="B223" s="1">
        <v>45602</v>
      </c>
      <c r="C223" s="2" t="s">
        <v>19</v>
      </c>
      <c r="D223" s="2" t="s">
        <v>10</v>
      </c>
      <c r="E223" s="2">
        <v>4495.84</v>
      </c>
      <c r="F223" s="2">
        <v>1406.07</v>
      </c>
      <c r="G223" s="2">
        <v>1</v>
      </c>
      <c r="H223" s="2">
        <f>(F223/E223)*100</f>
        <v>31.274911918573611</v>
      </c>
    </row>
    <row r="224" spans="1:8" x14ac:dyDescent="0.3">
      <c r="A224" s="2" t="s">
        <v>267</v>
      </c>
      <c r="B224" s="1">
        <v>45602</v>
      </c>
      <c r="C224" s="2" t="s">
        <v>22</v>
      </c>
      <c r="D224" s="2" t="s">
        <v>10</v>
      </c>
      <c r="E224" s="2">
        <v>4002</v>
      </c>
      <c r="F224" s="2">
        <v>667.75</v>
      </c>
      <c r="G224" s="2">
        <v>3</v>
      </c>
      <c r="H224" s="2">
        <f>(F224/E224)*100</f>
        <v>16.685407296351823</v>
      </c>
    </row>
    <row r="225" spans="1:8" x14ac:dyDescent="0.3">
      <c r="A225" s="2" t="s">
        <v>259</v>
      </c>
      <c r="B225" s="1">
        <v>45604</v>
      </c>
      <c r="C225" s="2" t="s">
        <v>16</v>
      </c>
      <c r="D225" s="2" t="s">
        <v>10</v>
      </c>
      <c r="E225" s="2">
        <v>3401.16</v>
      </c>
      <c r="F225" s="2">
        <v>64.83</v>
      </c>
      <c r="G225" s="2">
        <v>11</v>
      </c>
      <c r="H225" s="2">
        <f>(F225/E225)*100</f>
        <v>1.9061143845041102</v>
      </c>
    </row>
    <row r="226" spans="1:8" x14ac:dyDescent="0.3">
      <c r="A226" s="2" t="s">
        <v>97</v>
      </c>
      <c r="B226" s="1">
        <v>45606</v>
      </c>
      <c r="C226" s="2" t="s">
        <v>16</v>
      </c>
      <c r="D226" s="2" t="s">
        <v>14</v>
      </c>
      <c r="E226" s="2">
        <v>4929.6400000000003</v>
      </c>
      <c r="F226" s="2">
        <v>372.14</v>
      </c>
      <c r="G226" s="2">
        <v>5</v>
      </c>
      <c r="H226" s="2">
        <f>(F226/E226)*100</f>
        <v>7.5490299494486406</v>
      </c>
    </row>
    <row r="227" spans="1:8" x14ac:dyDescent="0.3">
      <c r="A227" s="2" t="s">
        <v>92</v>
      </c>
      <c r="B227" s="1">
        <v>45610</v>
      </c>
      <c r="C227" s="2" t="s">
        <v>11</v>
      </c>
      <c r="D227" s="2" t="s">
        <v>14</v>
      </c>
      <c r="E227" s="2">
        <v>4652.3999999999996</v>
      </c>
      <c r="F227" s="2">
        <v>290.11</v>
      </c>
      <c r="G227" s="2">
        <v>3</v>
      </c>
      <c r="H227" s="2">
        <f>(F227/E227)*100</f>
        <v>6.2357063021236359</v>
      </c>
    </row>
    <row r="228" spans="1:8" x14ac:dyDescent="0.3">
      <c r="A228" s="2" t="s">
        <v>82</v>
      </c>
      <c r="B228" s="1">
        <v>45613</v>
      </c>
      <c r="C228" s="2" t="s">
        <v>16</v>
      </c>
      <c r="D228" s="2" t="s">
        <v>12</v>
      </c>
      <c r="E228" s="2">
        <v>281.83999999999997</v>
      </c>
      <c r="F228" s="2">
        <v>9.56</v>
      </c>
      <c r="G228" s="2">
        <v>7</v>
      </c>
      <c r="H228" s="2">
        <f>(F228/E228)*100</f>
        <v>3.3919954584161229</v>
      </c>
    </row>
    <row r="229" spans="1:8" x14ac:dyDescent="0.3">
      <c r="A229" s="2" t="s">
        <v>139</v>
      </c>
      <c r="B229" s="1">
        <v>45613</v>
      </c>
      <c r="C229" s="2" t="s">
        <v>19</v>
      </c>
      <c r="D229" s="2" t="s">
        <v>10</v>
      </c>
      <c r="E229" s="2">
        <v>217.22</v>
      </c>
      <c r="F229" s="2">
        <v>7.84</v>
      </c>
      <c r="G229" s="2">
        <v>5</v>
      </c>
      <c r="H229" s="2">
        <f>(F229/E229)*100</f>
        <v>3.6092440843384588</v>
      </c>
    </row>
    <row r="230" spans="1:8" x14ac:dyDescent="0.3">
      <c r="A230" s="2" t="s">
        <v>144</v>
      </c>
      <c r="B230" s="1">
        <v>45613</v>
      </c>
      <c r="C230" s="2" t="s">
        <v>11</v>
      </c>
      <c r="D230" s="2" t="s">
        <v>12</v>
      </c>
      <c r="E230" s="2">
        <v>2067.27</v>
      </c>
      <c r="F230" s="2">
        <v>-36.9</v>
      </c>
      <c r="G230" s="2">
        <v>12</v>
      </c>
      <c r="H230" s="2">
        <f>(F230/E230)*100</f>
        <v>-1.7849627769957479</v>
      </c>
    </row>
    <row r="231" spans="1:8" x14ac:dyDescent="0.3">
      <c r="A231" s="2" t="s">
        <v>180</v>
      </c>
      <c r="B231" s="1">
        <v>45613</v>
      </c>
      <c r="C231" s="2" t="s">
        <v>19</v>
      </c>
      <c r="D231" s="2" t="s">
        <v>14</v>
      </c>
      <c r="E231" s="2">
        <v>2622.07</v>
      </c>
      <c r="F231" s="2">
        <v>-119.73</v>
      </c>
      <c r="G231" s="2">
        <v>15</v>
      </c>
      <c r="H231" s="2">
        <f>(F231/E231)*100</f>
        <v>-4.5662396503525837</v>
      </c>
    </row>
    <row r="232" spans="1:8" x14ac:dyDescent="0.3">
      <c r="A232" s="2" t="s">
        <v>192</v>
      </c>
      <c r="B232" s="1">
        <v>45613</v>
      </c>
      <c r="C232" s="2" t="s">
        <v>11</v>
      </c>
      <c r="D232" s="2" t="s">
        <v>12</v>
      </c>
      <c r="E232" s="2">
        <v>437.7</v>
      </c>
      <c r="F232" s="2">
        <v>57.83</v>
      </c>
      <c r="G232" s="2">
        <v>14</v>
      </c>
      <c r="H232" s="2">
        <f>(F232/E232)*100</f>
        <v>13.212245830477496</v>
      </c>
    </row>
    <row r="233" spans="1:8" x14ac:dyDescent="0.3">
      <c r="A233" s="2" t="s">
        <v>25</v>
      </c>
      <c r="B233" s="1">
        <v>45615</v>
      </c>
      <c r="C233" s="2" t="s">
        <v>11</v>
      </c>
      <c r="D233" s="2" t="s">
        <v>9</v>
      </c>
      <c r="E233" s="2">
        <v>335.27</v>
      </c>
      <c r="F233" s="2">
        <v>116.16</v>
      </c>
      <c r="G233" s="2">
        <v>12</v>
      </c>
      <c r="H233" s="2">
        <f>(F233/E233)*100</f>
        <v>34.64670265755958</v>
      </c>
    </row>
    <row r="234" spans="1:8" x14ac:dyDescent="0.3">
      <c r="A234" s="2" t="s">
        <v>42</v>
      </c>
      <c r="B234" s="1">
        <v>45615</v>
      </c>
      <c r="C234" s="2" t="s">
        <v>19</v>
      </c>
      <c r="D234" s="2" t="s">
        <v>14</v>
      </c>
      <c r="E234" s="2">
        <v>2282.54</v>
      </c>
      <c r="F234" s="2">
        <v>207.17</v>
      </c>
      <c r="G234" s="2">
        <v>6</v>
      </c>
      <c r="H234" s="2">
        <f>(F234/E234)*100</f>
        <v>9.0762922007938514</v>
      </c>
    </row>
    <row r="235" spans="1:8" x14ac:dyDescent="0.3">
      <c r="A235" s="2" t="s">
        <v>212</v>
      </c>
      <c r="B235" s="1">
        <v>45617</v>
      </c>
      <c r="C235" s="2" t="s">
        <v>8</v>
      </c>
      <c r="D235" s="2" t="s">
        <v>9</v>
      </c>
      <c r="E235" s="2">
        <v>2762.3</v>
      </c>
      <c r="F235" s="2">
        <v>96.32</v>
      </c>
      <c r="G235" s="2">
        <v>7</v>
      </c>
      <c r="H235" s="2">
        <f>(F235/E235)*100</f>
        <v>3.4869492813959373</v>
      </c>
    </row>
    <row r="236" spans="1:8" x14ac:dyDescent="0.3">
      <c r="A236" s="2" t="s">
        <v>131</v>
      </c>
      <c r="B236" s="1">
        <v>45619</v>
      </c>
      <c r="C236" s="2" t="s">
        <v>22</v>
      </c>
      <c r="D236" s="2" t="s">
        <v>17</v>
      </c>
      <c r="E236" s="2">
        <v>806.72</v>
      </c>
      <c r="F236" s="2">
        <v>122.31</v>
      </c>
      <c r="G236" s="2">
        <v>11</v>
      </c>
      <c r="H236" s="2">
        <f>(F236/E236)*100</f>
        <v>15.16139428798096</v>
      </c>
    </row>
    <row r="237" spans="1:8" x14ac:dyDescent="0.3">
      <c r="A237" s="2" t="s">
        <v>152</v>
      </c>
      <c r="B237" s="1">
        <v>45619</v>
      </c>
      <c r="C237" s="2" t="s">
        <v>19</v>
      </c>
      <c r="D237" s="2" t="s">
        <v>12</v>
      </c>
      <c r="E237" s="2">
        <v>3408.55</v>
      </c>
      <c r="F237" s="2">
        <v>163.13999999999999</v>
      </c>
      <c r="G237" s="2">
        <v>1</v>
      </c>
      <c r="H237" s="2">
        <f>(F237/E237)*100</f>
        <v>4.7861994103064349</v>
      </c>
    </row>
    <row r="238" spans="1:8" x14ac:dyDescent="0.3">
      <c r="A238" s="2" t="s">
        <v>247</v>
      </c>
      <c r="B238" s="1">
        <v>45619</v>
      </c>
      <c r="C238" s="2" t="s">
        <v>22</v>
      </c>
      <c r="D238" s="2" t="s">
        <v>10</v>
      </c>
      <c r="E238" s="2">
        <v>4890.6899999999996</v>
      </c>
      <c r="F238" s="2">
        <v>505.49</v>
      </c>
      <c r="G238" s="2">
        <v>12</v>
      </c>
      <c r="H238" s="2">
        <f>(F238/E238)*100</f>
        <v>10.335760393727675</v>
      </c>
    </row>
    <row r="239" spans="1:8" x14ac:dyDescent="0.3">
      <c r="A239" s="2" t="s">
        <v>233</v>
      </c>
      <c r="B239" s="1">
        <v>45621</v>
      </c>
      <c r="C239" s="2" t="s">
        <v>19</v>
      </c>
      <c r="D239" s="2" t="s">
        <v>10</v>
      </c>
      <c r="E239" s="2">
        <v>3424.1</v>
      </c>
      <c r="F239" s="2">
        <v>67.36</v>
      </c>
      <c r="G239" s="2">
        <v>13</v>
      </c>
      <c r="H239" s="2">
        <f>(F239/E239)*100</f>
        <v>1.9672322654128092</v>
      </c>
    </row>
    <row r="240" spans="1:8" x14ac:dyDescent="0.3">
      <c r="A240" s="2" t="s">
        <v>116</v>
      </c>
      <c r="B240" s="1">
        <v>45622</v>
      </c>
      <c r="C240" s="2" t="s">
        <v>19</v>
      </c>
      <c r="D240" s="2" t="s">
        <v>9</v>
      </c>
      <c r="E240" s="2">
        <v>2885.34</v>
      </c>
      <c r="F240" s="2">
        <v>160.78</v>
      </c>
      <c r="G240" s="2">
        <v>6</v>
      </c>
      <c r="H240" s="2">
        <f>(F240/E240)*100</f>
        <v>5.5723069031725894</v>
      </c>
    </row>
    <row r="241" spans="1:8" x14ac:dyDescent="0.3">
      <c r="A241" s="2" t="s">
        <v>56</v>
      </c>
      <c r="B241" s="1">
        <v>45624</v>
      </c>
      <c r="C241" s="2" t="s">
        <v>19</v>
      </c>
      <c r="D241" s="2" t="s">
        <v>12</v>
      </c>
      <c r="E241" s="2">
        <v>453.81</v>
      </c>
      <c r="F241" s="2">
        <v>78.900000000000006</v>
      </c>
      <c r="G241" s="2">
        <v>19</v>
      </c>
      <c r="H241" s="2">
        <f>(F241/E241)*100</f>
        <v>17.386130759568985</v>
      </c>
    </row>
    <row r="242" spans="1:8" x14ac:dyDescent="0.3">
      <c r="A242" s="2" t="s">
        <v>132</v>
      </c>
      <c r="B242" s="1">
        <v>45625</v>
      </c>
      <c r="C242" s="2" t="s">
        <v>8</v>
      </c>
      <c r="D242" s="2" t="s">
        <v>17</v>
      </c>
      <c r="E242" s="2">
        <v>2029.72</v>
      </c>
      <c r="F242" s="2">
        <v>584.79</v>
      </c>
      <c r="G242" s="2">
        <v>16</v>
      </c>
      <c r="H242" s="2">
        <f>(F242/E242)*100</f>
        <v>28.811363143684844</v>
      </c>
    </row>
    <row r="243" spans="1:8" x14ac:dyDescent="0.3">
      <c r="A243" s="2" t="s">
        <v>62</v>
      </c>
      <c r="B243" s="1">
        <v>45626</v>
      </c>
      <c r="C243" s="2" t="s">
        <v>22</v>
      </c>
      <c r="D243" s="2" t="s">
        <v>9</v>
      </c>
      <c r="E243" s="2">
        <v>3138.57</v>
      </c>
      <c r="F243" s="2">
        <v>753.07</v>
      </c>
      <c r="G243" s="2">
        <v>1</v>
      </c>
      <c r="H243" s="2">
        <f>(F243/E243)*100</f>
        <v>23.994048244901343</v>
      </c>
    </row>
    <row r="244" spans="1:8" x14ac:dyDescent="0.3">
      <c r="A244" s="2" t="s">
        <v>70</v>
      </c>
      <c r="B244" s="1">
        <v>45629</v>
      </c>
      <c r="C244" s="2" t="s">
        <v>22</v>
      </c>
      <c r="D244" s="2" t="s">
        <v>9</v>
      </c>
      <c r="E244" s="2">
        <v>4721.32</v>
      </c>
      <c r="F244" s="2">
        <v>9.68</v>
      </c>
      <c r="G244" s="2">
        <v>11</v>
      </c>
      <c r="H244" s="2">
        <f>(F244/E244)*100</f>
        <v>0.20502740758940297</v>
      </c>
    </row>
    <row r="245" spans="1:8" x14ac:dyDescent="0.3">
      <c r="A245" s="2" t="s">
        <v>83</v>
      </c>
      <c r="B245" s="1">
        <v>45633</v>
      </c>
      <c r="C245" s="2" t="s">
        <v>8</v>
      </c>
      <c r="D245" s="2" t="s">
        <v>17</v>
      </c>
      <c r="E245" s="2">
        <v>1462.97</v>
      </c>
      <c r="F245" s="2">
        <v>451.71</v>
      </c>
      <c r="G245" s="2">
        <v>15</v>
      </c>
      <c r="H245" s="2">
        <f>(F245/E245)*100</f>
        <v>30.876231228254845</v>
      </c>
    </row>
    <row r="246" spans="1:8" x14ac:dyDescent="0.3">
      <c r="A246" s="2" t="s">
        <v>217</v>
      </c>
      <c r="B246" s="1">
        <v>45633</v>
      </c>
      <c r="C246" s="2" t="s">
        <v>8</v>
      </c>
      <c r="D246" s="2" t="s">
        <v>9</v>
      </c>
      <c r="E246" s="2">
        <v>1590.27</v>
      </c>
      <c r="F246" s="2">
        <v>360.2</v>
      </c>
      <c r="G246" s="2">
        <v>2</v>
      </c>
      <c r="H246" s="2">
        <f>(F246/E246)*100</f>
        <v>22.650241782841906</v>
      </c>
    </row>
    <row r="247" spans="1:8" x14ac:dyDescent="0.3">
      <c r="A247" s="2" t="s">
        <v>208</v>
      </c>
      <c r="B247" s="1">
        <v>45634</v>
      </c>
      <c r="C247" s="2" t="s">
        <v>22</v>
      </c>
      <c r="D247" s="2" t="s">
        <v>14</v>
      </c>
      <c r="E247" s="2">
        <v>3284.88</v>
      </c>
      <c r="F247" s="2">
        <v>310.56</v>
      </c>
      <c r="G247" s="2">
        <v>11</v>
      </c>
      <c r="H247" s="2">
        <f>(F247/E247)*100</f>
        <v>9.4542266384160154</v>
      </c>
    </row>
    <row r="248" spans="1:8" x14ac:dyDescent="0.3">
      <c r="A248" s="2" t="s">
        <v>254</v>
      </c>
      <c r="B248" s="1">
        <v>45634</v>
      </c>
      <c r="C248" s="2" t="s">
        <v>22</v>
      </c>
      <c r="D248" s="2" t="s">
        <v>12</v>
      </c>
      <c r="E248" s="2">
        <v>455.67</v>
      </c>
      <c r="F248" s="2">
        <v>118.93</v>
      </c>
      <c r="G248" s="2">
        <v>17</v>
      </c>
      <c r="H248" s="2">
        <f>(F248/E248)*100</f>
        <v>26.100028529418218</v>
      </c>
    </row>
    <row r="249" spans="1:8" x14ac:dyDescent="0.3">
      <c r="A249" s="2" t="s">
        <v>270</v>
      </c>
      <c r="B249" s="1">
        <v>45636</v>
      </c>
      <c r="C249" s="2" t="s">
        <v>19</v>
      </c>
      <c r="D249" s="2" t="s">
        <v>12</v>
      </c>
      <c r="E249" s="2">
        <v>3246.92</v>
      </c>
      <c r="F249" s="2">
        <v>479.89</v>
      </c>
      <c r="G249" s="2">
        <v>18</v>
      </c>
      <c r="H249" s="2">
        <f>(F249/E249)*100</f>
        <v>14.779852906754709</v>
      </c>
    </row>
    <row r="250" spans="1:8" x14ac:dyDescent="0.3">
      <c r="A250" s="2" t="s">
        <v>7</v>
      </c>
      <c r="B250" s="1">
        <v>45638</v>
      </c>
      <c r="C250" s="2" t="s">
        <v>8</v>
      </c>
      <c r="D250" s="2" t="s">
        <v>9</v>
      </c>
      <c r="E250" s="2">
        <v>4526.9799999999996</v>
      </c>
      <c r="F250" s="2">
        <v>1469.28</v>
      </c>
      <c r="G250" s="2">
        <v>19</v>
      </c>
      <c r="H250" s="2">
        <f>(F250/E250)*100</f>
        <v>32.456074469072099</v>
      </c>
    </row>
    <row r="251" spans="1:8" x14ac:dyDescent="0.3">
      <c r="A251" s="2" t="s">
        <v>159</v>
      </c>
      <c r="B251" s="1">
        <v>45648</v>
      </c>
      <c r="C251" s="2" t="s">
        <v>8</v>
      </c>
      <c r="D251" s="2" t="s">
        <v>10</v>
      </c>
      <c r="E251" s="2">
        <v>1121.6199999999999</v>
      </c>
      <c r="F251" s="2">
        <v>319.52999999999997</v>
      </c>
      <c r="G251" s="2">
        <v>11</v>
      </c>
      <c r="H251" s="2">
        <f>(F251/E251)*100</f>
        <v>28.488258055312855</v>
      </c>
    </row>
    <row r="252" spans="1:8" x14ac:dyDescent="0.3">
      <c r="A252" s="2" t="s">
        <v>221</v>
      </c>
      <c r="B252" s="1">
        <v>45649</v>
      </c>
      <c r="C252" s="2" t="s">
        <v>19</v>
      </c>
      <c r="D252" s="2" t="s">
        <v>17</v>
      </c>
      <c r="E252" s="2">
        <v>2761.47</v>
      </c>
      <c r="F252" s="2">
        <v>375.52</v>
      </c>
      <c r="G252" s="2">
        <v>8</v>
      </c>
      <c r="H252" s="2">
        <f>(F252/E252)*100</f>
        <v>13.598554393131195</v>
      </c>
    </row>
    <row r="253" spans="1:8" x14ac:dyDescent="0.3">
      <c r="A253" s="2" t="s">
        <v>69</v>
      </c>
      <c r="B253" s="1">
        <v>45653</v>
      </c>
      <c r="C253" s="2" t="s">
        <v>16</v>
      </c>
      <c r="D253" s="2" t="s">
        <v>14</v>
      </c>
      <c r="E253" s="2">
        <v>4198.54</v>
      </c>
      <c r="F253" s="2">
        <v>556.76</v>
      </c>
      <c r="G253" s="2">
        <v>4</v>
      </c>
      <c r="H253" s="2">
        <f>(F253/E253)*100</f>
        <v>13.260800182920729</v>
      </c>
    </row>
    <row r="254" spans="1:8" x14ac:dyDescent="0.3">
      <c r="A254" s="2" t="s">
        <v>91</v>
      </c>
      <c r="B254" s="1">
        <v>45655</v>
      </c>
      <c r="C254" s="2" t="s">
        <v>16</v>
      </c>
      <c r="D254" s="2" t="s">
        <v>17</v>
      </c>
      <c r="E254" s="2">
        <v>1425.8</v>
      </c>
      <c r="F254" s="2">
        <v>-12.45</v>
      </c>
      <c r="G254" s="2">
        <v>4</v>
      </c>
      <c r="H254" s="2">
        <f>(F254/E254)*100</f>
        <v>-0.87319399635292472</v>
      </c>
    </row>
    <row r="255" spans="1:8" x14ac:dyDescent="0.3">
      <c r="A255" s="2" t="s">
        <v>108</v>
      </c>
      <c r="B255" s="1">
        <v>45656</v>
      </c>
      <c r="C255" s="2" t="s">
        <v>8</v>
      </c>
      <c r="D255" s="2" t="s">
        <v>14</v>
      </c>
      <c r="E255" s="2">
        <v>833.09</v>
      </c>
      <c r="F255" s="2">
        <v>112.78</v>
      </c>
      <c r="G255" s="2">
        <v>12</v>
      </c>
      <c r="H255" s="2">
        <f>(F255/E255)*100</f>
        <v>13.537552965465915</v>
      </c>
    </row>
    <row r="256" spans="1:8" x14ac:dyDescent="0.3">
      <c r="A256" s="2" t="s">
        <v>177</v>
      </c>
      <c r="B256" s="1">
        <v>45656</v>
      </c>
      <c r="C256" s="2" t="s">
        <v>19</v>
      </c>
      <c r="D256" s="2" t="s">
        <v>12</v>
      </c>
      <c r="E256" s="2">
        <v>3248.87</v>
      </c>
      <c r="F256" s="2">
        <v>946.72</v>
      </c>
      <c r="G256" s="2">
        <v>11</v>
      </c>
      <c r="H256" s="2">
        <f>(F256/E256)*100</f>
        <v>29.139977900008311</v>
      </c>
    </row>
    <row r="257" spans="1:8" x14ac:dyDescent="0.3">
      <c r="A257" s="2" t="s">
        <v>211</v>
      </c>
      <c r="B257" s="1">
        <v>45657</v>
      </c>
      <c r="C257" s="2" t="s">
        <v>16</v>
      </c>
      <c r="D257" s="2" t="s">
        <v>17</v>
      </c>
      <c r="E257" s="2">
        <v>633.67999999999995</v>
      </c>
      <c r="F257" s="2">
        <v>195.65</v>
      </c>
      <c r="G257" s="2">
        <v>5</v>
      </c>
      <c r="H257" s="2">
        <f>(F257/E257)*100</f>
        <v>30.875205150864794</v>
      </c>
    </row>
    <row r="258" spans="1:8" x14ac:dyDescent="0.3">
      <c r="A258" s="2"/>
      <c r="C258" s="2"/>
      <c r="D258" s="3" t="s">
        <v>273</v>
      </c>
      <c r="E258" s="3">
        <f>SUM(E2:E257)</f>
        <v>669932.93999999971</v>
      </c>
      <c r="F258" s="2"/>
      <c r="G258" s="2"/>
      <c r="H258" s="2"/>
    </row>
    <row r="259" spans="1:8" x14ac:dyDescent="0.3">
      <c r="A259" s="2"/>
      <c r="C259" s="2"/>
      <c r="D259" s="2"/>
      <c r="E259" s="2"/>
      <c r="F259" s="2"/>
      <c r="G259" s="2"/>
      <c r="H259" s="2"/>
    </row>
    <row r="260" spans="1:8" x14ac:dyDescent="0.3">
      <c r="A260" s="2"/>
      <c r="C260" s="2"/>
      <c r="D260" s="2"/>
      <c r="E260" s="2"/>
      <c r="F260" s="2"/>
      <c r="G260" s="2"/>
      <c r="H260" s="2"/>
    </row>
    <row r="261" spans="1:8" x14ac:dyDescent="0.3">
      <c r="A261" s="2"/>
      <c r="C261" s="2"/>
      <c r="D261" s="2"/>
      <c r="E261" s="2"/>
      <c r="F261" s="2"/>
      <c r="G261" s="2"/>
      <c r="H261" s="2"/>
    </row>
    <row r="262" spans="1:8" x14ac:dyDescent="0.3">
      <c r="A262" s="2"/>
      <c r="C262" s="2"/>
      <c r="D262" s="2"/>
      <c r="E262" s="2"/>
      <c r="F262" s="2"/>
      <c r="G262" s="2"/>
      <c r="H262" s="2"/>
    </row>
    <row r="263" spans="1:8" x14ac:dyDescent="0.3">
      <c r="A263" s="2"/>
      <c r="C263" s="2"/>
      <c r="D263" s="2"/>
      <c r="E263" s="2"/>
      <c r="F263" s="2"/>
      <c r="G263" s="2"/>
      <c r="H263" s="2"/>
    </row>
    <row r="264" spans="1:8" x14ac:dyDescent="0.3">
      <c r="A264" s="2"/>
      <c r="C264" s="2"/>
      <c r="D264" s="2"/>
      <c r="E264" s="2"/>
      <c r="F264" s="2"/>
      <c r="G264" s="2"/>
      <c r="H264" s="2"/>
    </row>
    <row r="265" spans="1:8" x14ac:dyDescent="0.3">
      <c r="A265" s="2"/>
      <c r="C265" s="2"/>
      <c r="D265" s="2"/>
      <c r="E265" s="2"/>
      <c r="F265" s="2"/>
      <c r="G265" s="2"/>
      <c r="H265" s="2"/>
    </row>
    <row r="266" spans="1:8" x14ac:dyDescent="0.3">
      <c r="A266" s="2"/>
      <c r="C266" s="2"/>
      <c r="D266" s="2"/>
      <c r="E266" s="2"/>
      <c r="F266" s="2"/>
      <c r="G266" s="2"/>
      <c r="H266" s="2"/>
    </row>
    <row r="267" spans="1:8" x14ac:dyDescent="0.3">
      <c r="A267" s="2"/>
      <c r="C267" s="2"/>
      <c r="D267" s="2"/>
      <c r="E267" s="2"/>
      <c r="F267" s="2"/>
      <c r="G267" s="2"/>
      <c r="H267" s="2"/>
    </row>
    <row r="268" spans="1:8" x14ac:dyDescent="0.3">
      <c r="A268" s="2"/>
      <c r="C268" s="2"/>
      <c r="D268" s="2"/>
      <c r="E268" s="2"/>
      <c r="F268" s="2"/>
      <c r="G268" s="2"/>
      <c r="H268" s="2"/>
    </row>
    <row r="269" spans="1:8" x14ac:dyDescent="0.3">
      <c r="A269" s="2"/>
      <c r="C269" s="2"/>
      <c r="D269" s="2"/>
      <c r="E269" s="2"/>
      <c r="F269" s="2"/>
      <c r="G269" s="2"/>
      <c r="H269" s="2"/>
    </row>
    <row r="270" spans="1:8" x14ac:dyDescent="0.3">
      <c r="A270" s="2"/>
      <c r="C270" s="2"/>
      <c r="D270" s="2"/>
      <c r="E270" s="2"/>
      <c r="F270" s="2"/>
      <c r="G270" s="2"/>
      <c r="H270" s="2"/>
    </row>
    <row r="271" spans="1:8" x14ac:dyDescent="0.3">
      <c r="A271" s="2"/>
      <c r="C271" s="2"/>
      <c r="D271" s="2"/>
      <c r="E271" s="2"/>
      <c r="F271" s="2"/>
      <c r="G271" s="2"/>
      <c r="H271" s="2"/>
    </row>
    <row r="272" spans="1:8" x14ac:dyDescent="0.3">
      <c r="A272" s="2"/>
      <c r="C272" s="2"/>
      <c r="D272" s="2"/>
      <c r="E272" s="2"/>
      <c r="F272" s="2"/>
      <c r="G272" s="2"/>
      <c r="H272" s="2"/>
    </row>
    <row r="273" spans="1:8" x14ac:dyDescent="0.3">
      <c r="A273" s="2"/>
      <c r="C273" s="2"/>
      <c r="D273" s="2"/>
      <c r="E273" s="2"/>
      <c r="F273" s="2"/>
      <c r="G273" s="2"/>
      <c r="H273" s="2"/>
    </row>
    <row r="274" spans="1:8" x14ac:dyDescent="0.3">
      <c r="A274" s="2"/>
      <c r="C274" s="2"/>
      <c r="D274" s="2"/>
      <c r="E274" s="2"/>
      <c r="F274" s="2"/>
      <c r="G274" s="2"/>
      <c r="H274" s="2"/>
    </row>
    <row r="275" spans="1:8" x14ac:dyDescent="0.3">
      <c r="A275" s="2"/>
      <c r="C275" s="2"/>
      <c r="D275" s="2"/>
      <c r="E275" s="2"/>
      <c r="F275" s="2"/>
      <c r="G275" s="2"/>
      <c r="H275" s="2"/>
    </row>
    <row r="276" spans="1:8" x14ac:dyDescent="0.3">
      <c r="A276" s="2"/>
      <c r="C276" s="2"/>
      <c r="D276" s="2"/>
      <c r="E276" s="2"/>
      <c r="F276" s="2"/>
      <c r="G276" s="2"/>
      <c r="H276" s="2"/>
    </row>
    <row r="277" spans="1:8" x14ac:dyDescent="0.3">
      <c r="A277" s="2"/>
      <c r="C277" s="2"/>
      <c r="D277" s="2"/>
      <c r="E277" s="2"/>
      <c r="F277" s="2"/>
      <c r="G277" s="2"/>
      <c r="H277" s="2"/>
    </row>
    <row r="278" spans="1:8" x14ac:dyDescent="0.3">
      <c r="A278" s="2"/>
      <c r="C278" s="2"/>
      <c r="D278" s="2"/>
      <c r="E278" s="2"/>
      <c r="F278" s="2"/>
      <c r="G278" s="2"/>
      <c r="H278" s="2"/>
    </row>
    <row r="279" spans="1:8" x14ac:dyDescent="0.3">
      <c r="A279" s="2"/>
      <c r="C279" s="2"/>
      <c r="D279" s="2"/>
      <c r="E279" s="2"/>
      <c r="F279" s="2"/>
      <c r="G279" s="2"/>
      <c r="H279" s="2"/>
    </row>
    <row r="280" spans="1:8" x14ac:dyDescent="0.3">
      <c r="A280" s="2"/>
      <c r="C280" s="2"/>
      <c r="D280" s="2"/>
      <c r="E280" s="2"/>
      <c r="F280" s="2"/>
      <c r="G280" s="2"/>
      <c r="H280" s="2"/>
    </row>
    <row r="281" spans="1:8" x14ac:dyDescent="0.3">
      <c r="A281" s="2"/>
      <c r="C281" s="2"/>
      <c r="D281" s="2"/>
      <c r="E281" s="2"/>
      <c r="F281" s="2"/>
      <c r="G281" s="2"/>
      <c r="H281" s="2"/>
    </row>
    <row r="282" spans="1:8" x14ac:dyDescent="0.3">
      <c r="A282" s="2"/>
      <c r="C282" s="2"/>
      <c r="D282" s="2"/>
      <c r="E282" s="2"/>
      <c r="F282" s="2"/>
      <c r="G282" s="2"/>
      <c r="H282" s="2"/>
    </row>
    <row r="283" spans="1:8" x14ac:dyDescent="0.3">
      <c r="A283" s="2"/>
      <c r="C283" s="2"/>
      <c r="D283" s="2"/>
      <c r="E283" s="2"/>
      <c r="F283" s="2"/>
      <c r="G283" s="2"/>
      <c r="H283" s="2"/>
    </row>
    <row r="284" spans="1:8" x14ac:dyDescent="0.3">
      <c r="A284" s="2"/>
      <c r="C284" s="2"/>
      <c r="D284" s="2"/>
      <c r="E284" s="2"/>
      <c r="F284" s="2"/>
      <c r="G284" s="2"/>
      <c r="H284" s="2"/>
    </row>
    <row r="285" spans="1:8" x14ac:dyDescent="0.3">
      <c r="A285" s="2"/>
      <c r="C285" s="2"/>
      <c r="D285" s="2"/>
      <c r="E285" s="2"/>
      <c r="F285" s="2"/>
      <c r="G285" s="2"/>
      <c r="H285" s="2"/>
    </row>
    <row r="286" spans="1:8" x14ac:dyDescent="0.3">
      <c r="A286" s="2"/>
      <c r="C286" s="2"/>
      <c r="D286" s="2"/>
      <c r="E286" s="2"/>
      <c r="F286" s="2"/>
      <c r="G286" s="2"/>
      <c r="H286" s="2"/>
    </row>
    <row r="287" spans="1:8" x14ac:dyDescent="0.3">
      <c r="A287" s="2"/>
      <c r="C287" s="2"/>
      <c r="D287" s="2"/>
      <c r="E287" s="2"/>
      <c r="F287" s="2"/>
      <c r="G287" s="2"/>
      <c r="H287" s="2"/>
    </row>
    <row r="288" spans="1:8" x14ac:dyDescent="0.3">
      <c r="A288" s="2"/>
      <c r="C288" s="2"/>
      <c r="D288" s="2"/>
      <c r="E288" s="2"/>
      <c r="F288" s="2"/>
      <c r="G288" s="2"/>
      <c r="H288" s="2"/>
    </row>
    <row r="289" spans="1:8" x14ac:dyDescent="0.3">
      <c r="A289" s="2"/>
      <c r="C289" s="2"/>
      <c r="D289" s="2"/>
      <c r="E289" s="2"/>
      <c r="F289" s="2"/>
      <c r="G289" s="2"/>
      <c r="H289" s="2"/>
    </row>
    <row r="290" spans="1:8" x14ac:dyDescent="0.3">
      <c r="A290" s="2"/>
      <c r="C290" s="2"/>
      <c r="D290" s="2"/>
      <c r="E290" s="2"/>
      <c r="F290" s="2"/>
      <c r="G290" s="2"/>
      <c r="H290" s="2"/>
    </row>
    <row r="291" spans="1:8" x14ac:dyDescent="0.3">
      <c r="A291" s="2"/>
      <c r="C291" s="2"/>
      <c r="D291" s="2"/>
      <c r="E291" s="2"/>
      <c r="F291" s="2"/>
      <c r="G291" s="2"/>
      <c r="H291" s="2"/>
    </row>
    <row r="292" spans="1:8" x14ac:dyDescent="0.3">
      <c r="A292" s="2"/>
      <c r="C292" s="2"/>
      <c r="D292" s="2"/>
      <c r="E292" s="2"/>
      <c r="F292" s="2"/>
      <c r="G292" s="2"/>
      <c r="H292" s="2"/>
    </row>
    <row r="293" spans="1:8" x14ac:dyDescent="0.3">
      <c r="A293" s="2"/>
      <c r="C293" s="2"/>
      <c r="D293" s="2"/>
      <c r="E293" s="2"/>
      <c r="F293" s="2"/>
      <c r="G293" s="2"/>
      <c r="H293" s="2"/>
    </row>
    <row r="294" spans="1:8" x14ac:dyDescent="0.3">
      <c r="A294" s="2"/>
      <c r="C294" s="2"/>
      <c r="D294" s="2"/>
      <c r="E294" s="2"/>
      <c r="F294" s="2"/>
      <c r="G294" s="2"/>
      <c r="H294" s="2"/>
    </row>
    <row r="295" spans="1:8" x14ac:dyDescent="0.3">
      <c r="A295" s="2"/>
      <c r="C295" s="2"/>
      <c r="D295" s="2"/>
      <c r="E295" s="2"/>
      <c r="F295" s="2"/>
      <c r="G295" s="2"/>
      <c r="H295" s="2"/>
    </row>
    <row r="296" spans="1:8" x14ac:dyDescent="0.3">
      <c r="A296" s="2"/>
      <c r="C296" s="2"/>
      <c r="D296" s="2"/>
      <c r="E296" s="2"/>
      <c r="F296" s="2"/>
      <c r="G296" s="2"/>
      <c r="H296" s="2"/>
    </row>
    <row r="297" spans="1:8" x14ac:dyDescent="0.3">
      <c r="A297" s="2"/>
      <c r="C297" s="2"/>
      <c r="D297" s="2"/>
      <c r="E297" s="2"/>
      <c r="F297" s="2"/>
      <c r="G297" s="2"/>
      <c r="H297" s="2"/>
    </row>
    <row r="298" spans="1:8" x14ac:dyDescent="0.3">
      <c r="A298" s="2"/>
      <c r="C298" s="2"/>
      <c r="D298" s="2"/>
      <c r="E298" s="2"/>
      <c r="F298" s="2"/>
      <c r="G298" s="2"/>
      <c r="H298" s="2"/>
    </row>
    <row r="299" spans="1:8" x14ac:dyDescent="0.3">
      <c r="A299" s="2"/>
      <c r="C299" s="2"/>
      <c r="D299" s="2"/>
      <c r="E299" s="2"/>
      <c r="F299" s="2"/>
      <c r="G299" s="2"/>
      <c r="H299" s="2"/>
    </row>
    <row r="300" spans="1:8" x14ac:dyDescent="0.3">
      <c r="A300" s="2"/>
      <c r="C300" s="2"/>
      <c r="D300" s="2"/>
      <c r="E300" s="2"/>
      <c r="F300" s="2"/>
      <c r="G300" s="2"/>
      <c r="H300" s="2"/>
    </row>
    <row r="301" spans="1:8" x14ac:dyDescent="0.3">
      <c r="A301" s="2"/>
      <c r="C301" s="2"/>
      <c r="D301" s="2"/>
      <c r="E301" s="2"/>
      <c r="F301" s="2"/>
      <c r="G301" s="2"/>
      <c r="H301" s="2"/>
    </row>
    <row r="302" spans="1:8" x14ac:dyDescent="0.3">
      <c r="A302" s="2"/>
      <c r="C302" s="2"/>
      <c r="D302" s="2"/>
      <c r="E302" s="2"/>
      <c r="F302" s="2"/>
      <c r="G302" s="2"/>
      <c r="H302" s="2"/>
    </row>
    <row r="303" spans="1:8" x14ac:dyDescent="0.3">
      <c r="A303" s="2"/>
      <c r="C303" s="2"/>
      <c r="D303" s="2"/>
      <c r="E303" s="2"/>
      <c r="F303" s="2"/>
      <c r="G303" s="2"/>
      <c r="H303" s="2"/>
    </row>
    <row r="304" spans="1:8" x14ac:dyDescent="0.3">
      <c r="A304" s="2"/>
      <c r="C304" s="2"/>
      <c r="D304" s="2"/>
      <c r="E304" s="2"/>
      <c r="F304" s="2"/>
      <c r="G304" s="2"/>
      <c r="H304" s="2"/>
    </row>
    <row r="305" spans="1:8" x14ac:dyDescent="0.3">
      <c r="A305" s="2"/>
      <c r="C305" s="2"/>
      <c r="D305" s="2"/>
      <c r="E305" s="2"/>
      <c r="F305" s="2"/>
      <c r="G305" s="2"/>
      <c r="H305" s="2"/>
    </row>
    <row r="306" spans="1:8" x14ac:dyDescent="0.3">
      <c r="A306" s="2"/>
      <c r="C306" s="2"/>
      <c r="D306" s="2"/>
      <c r="E306" s="2"/>
      <c r="F306" s="2"/>
      <c r="G306" s="2"/>
      <c r="H306" s="2"/>
    </row>
    <row r="307" spans="1:8" x14ac:dyDescent="0.3">
      <c r="A307" s="2"/>
      <c r="C307" s="2"/>
      <c r="D307" s="2"/>
      <c r="E307" s="2"/>
      <c r="F307" s="2"/>
      <c r="G307" s="2"/>
      <c r="H307" s="2"/>
    </row>
    <row r="308" spans="1:8" x14ac:dyDescent="0.3">
      <c r="A308" s="2"/>
      <c r="C308" s="2"/>
      <c r="D308" s="2"/>
      <c r="E308" s="2"/>
      <c r="F308" s="2"/>
      <c r="G308" s="2"/>
      <c r="H308" s="2"/>
    </row>
    <row r="309" spans="1:8" x14ac:dyDescent="0.3">
      <c r="A309" s="2"/>
      <c r="C309" s="2"/>
      <c r="D309" s="2"/>
      <c r="E309" s="2"/>
      <c r="F309" s="2"/>
      <c r="G309" s="2"/>
      <c r="H309" s="2"/>
    </row>
    <row r="310" spans="1:8" x14ac:dyDescent="0.3">
      <c r="A310" s="2"/>
      <c r="C310" s="2"/>
      <c r="D310" s="2"/>
      <c r="E310" s="2"/>
      <c r="F310" s="2"/>
      <c r="G310" s="2"/>
      <c r="H310" s="2"/>
    </row>
    <row r="311" spans="1:8" x14ac:dyDescent="0.3">
      <c r="A311" s="2"/>
      <c r="C311" s="2"/>
      <c r="D311" s="2"/>
      <c r="E311" s="2"/>
      <c r="F311" s="2"/>
      <c r="G311" s="2"/>
      <c r="H311" s="2"/>
    </row>
    <row r="312" spans="1:8" x14ac:dyDescent="0.3">
      <c r="A312" s="2"/>
      <c r="C312" s="2"/>
      <c r="D312" s="2"/>
      <c r="E312" s="2"/>
      <c r="F312" s="2"/>
      <c r="G312" s="2"/>
      <c r="H312" s="2"/>
    </row>
    <row r="313" spans="1:8" x14ac:dyDescent="0.3">
      <c r="A313" s="2"/>
      <c r="C313" s="2"/>
      <c r="D313" s="2"/>
      <c r="E313" s="2"/>
      <c r="F313" s="2"/>
      <c r="G313" s="2"/>
      <c r="H313" s="2"/>
    </row>
    <row r="314" spans="1:8" x14ac:dyDescent="0.3">
      <c r="A314" s="2"/>
      <c r="C314" s="2"/>
      <c r="D314" s="2"/>
      <c r="E314" s="2"/>
      <c r="F314" s="2"/>
      <c r="G314" s="2"/>
      <c r="H314" s="2"/>
    </row>
    <row r="315" spans="1:8" x14ac:dyDescent="0.3">
      <c r="A315" s="2"/>
      <c r="C315" s="2"/>
      <c r="D315" s="2"/>
      <c r="E315" s="2"/>
      <c r="F315" s="2"/>
      <c r="G315" s="2"/>
      <c r="H315" s="2"/>
    </row>
    <row r="316" spans="1:8" x14ac:dyDescent="0.3">
      <c r="A316" s="2"/>
      <c r="C316" s="2"/>
      <c r="D316" s="2"/>
      <c r="E316" s="2"/>
      <c r="F316" s="2"/>
      <c r="G316" s="2"/>
      <c r="H316" s="2"/>
    </row>
    <row r="317" spans="1:8" x14ac:dyDescent="0.3">
      <c r="A317" s="2"/>
      <c r="C317" s="2"/>
      <c r="D317" s="2"/>
      <c r="E317" s="2"/>
      <c r="F317" s="2"/>
      <c r="G317" s="2"/>
      <c r="H317" s="2"/>
    </row>
    <row r="318" spans="1:8" x14ac:dyDescent="0.3">
      <c r="A318" s="2"/>
      <c r="C318" s="2"/>
      <c r="D318" s="2"/>
      <c r="E318" s="2"/>
      <c r="F318" s="2"/>
      <c r="G318" s="2"/>
      <c r="H318" s="2"/>
    </row>
    <row r="319" spans="1:8" x14ac:dyDescent="0.3">
      <c r="A319" s="2"/>
      <c r="C319" s="2"/>
      <c r="D319" s="2"/>
      <c r="E319" s="2"/>
      <c r="F319" s="2"/>
      <c r="G319" s="2"/>
      <c r="H319" s="2"/>
    </row>
    <row r="320" spans="1:8" x14ac:dyDescent="0.3">
      <c r="A320" s="2"/>
      <c r="C320" s="2"/>
      <c r="D320" s="2"/>
      <c r="E320" s="2"/>
      <c r="F320" s="2"/>
      <c r="G320" s="2"/>
      <c r="H320" s="2"/>
    </row>
    <row r="321" spans="1:8" x14ac:dyDescent="0.3">
      <c r="A321" s="2"/>
      <c r="C321" s="2"/>
      <c r="D321" s="2"/>
      <c r="E321" s="2"/>
      <c r="F321" s="2"/>
      <c r="G321" s="2"/>
      <c r="H321" s="2"/>
    </row>
    <row r="322" spans="1:8" x14ac:dyDescent="0.3">
      <c r="A322" s="2"/>
      <c r="C322" s="2"/>
      <c r="D322" s="2"/>
      <c r="E322" s="2"/>
      <c r="F322" s="2"/>
      <c r="G322" s="2"/>
      <c r="H322" s="2"/>
    </row>
    <row r="323" spans="1:8" x14ac:dyDescent="0.3">
      <c r="A323" s="2"/>
      <c r="C323" s="2"/>
      <c r="D323" s="2"/>
      <c r="E323" s="2"/>
      <c r="F323" s="2"/>
      <c r="G323" s="2"/>
      <c r="H323" s="2"/>
    </row>
    <row r="324" spans="1:8" x14ac:dyDescent="0.3">
      <c r="A324" s="2"/>
      <c r="C324" s="2"/>
      <c r="D324" s="2"/>
      <c r="E324" s="2"/>
      <c r="F324" s="2"/>
      <c r="G324" s="2"/>
      <c r="H324" s="2"/>
    </row>
    <row r="325" spans="1:8" x14ac:dyDescent="0.3">
      <c r="A325" s="2"/>
      <c r="C325" s="2"/>
      <c r="D325" s="2"/>
      <c r="E325" s="2"/>
      <c r="F325" s="2"/>
      <c r="G325" s="2"/>
      <c r="H325" s="2"/>
    </row>
    <row r="326" spans="1:8" x14ac:dyDescent="0.3">
      <c r="A326" s="2"/>
      <c r="C326" s="2"/>
      <c r="D326" s="2"/>
      <c r="E326" s="2"/>
      <c r="F326" s="2"/>
      <c r="G326" s="2"/>
      <c r="H326" s="2"/>
    </row>
    <row r="327" spans="1:8" x14ac:dyDescent="0.3">
      <c r="A327" s="2"/>
      <c r="C327" s="2"/>
      <c r="D327" s="2"/>
      <c r="E327" s="2"/>
      <c r="F327" s="2"/>
      <c r="G327" s="2"/>
      <c r="H327" s="2"/>
    </row>
    <row r="328" spans="1:8" x14ac:dyDescent="0.3">
      <c r="A328" s="2"/>
      <c r="C328" s="2"/>
      <c r="D328" s="2"/>
      <c r="E328" s="2"/>
      <c r="F328" s="2"/>
      <c r="G328" s="2"/>
      <c r="H328" s="2"/>
    </row>
    <row r="329" spans="1:8" x14ac:dyDescent="0.3">
      <c r="A329" s="2"/>
      <c r="C329" s="2"/>
      <c r="D329" s="2"/>
      <c r="E329" s="2"/>
      <c r="F329" s="2"/>
      <c r="G329" s="2"/>
      <c r="H329" s="2"/>
    </row>
    <row r="330" spans="1:8" x14ac:dyDescent="0.3">
      <c r="A330" s="2"/>
      <c r="C330" s="2"/>
      <c r="D330" s="2"/>
      <c r="E330" s="2"/>
      <c r="F330" s="2"/>
      <c r="G330" s="2"/>
      <c r="H330" s="2"/>
    </row>
    <row r="331" spans="1:8" x14ac:dyDescent="0.3">
      <c r="A331" s="2"/>
      <c r="C331" s="2"/>
      <c r="D331" s="2"/>
      <c r="E331" s="2"/>
      <c r="F331" s="2"/>
      <c r="G331" s="2"/>
      <c r="H331" s="2"/>
    </row>
    <row r="332" spans="1:8" x14ac:dyDescent="0.3">
      <c r="A332" s="2"/>
      <c r="C332" s="2"/>
      <c r="D332" s="2"/>
      <c r="E332" s="2"/>
      <c r="F332" s="2"/>
      <c r="G332" s="2"/>
      <c r="H332" s="2"/>
    </row>
    <row r="333" spans="1:8" x14ac:dyDescent="0.3">
      <c r="A333" s="2"/>
      <c r="C333" s="2"/>
      <c r="D333" s="2"/>
      <c r="E333" s="2"/>
      <c r="F333" s="2"/>
      <c r="G333" s="2"/>
      <c r="H333" s="2"/>
    </row>
    <row r="334" spans="1:8" x14ac:dyDescent="0.3">
      <c r="A334" s="2"/>
      <c r="C334" s="2"/>
      <c r="D334" s="2"/>
      <c r="E334" s="2"/>
      <c r="F334" s="2"/>
      <c r="G334" s="2"/>
      <c r="H334" s="2"/>
    </row>
    <row r="335" spans="1:8" x14ac:dyDescent="0.3">
      <c r="A335" s="2"/>
      <c r="C335" s="2"/>
      <c r="D335" s="2"/>
      <c r="E335" s="2"/>
      <c r="F335" s="2"/>
      <c r="G335" s="2"/>
      <c r="H335" s="2"/>
    </row>
    <row r="336" spans="1:8" x14ac:dyDescent="0.3">
      <c r="A336" s="2"/>
      <c r="C336" s="2"/>
      <c r="D336" s="2"/>
      <c r="E336" s="2"/>
      <c r="F336" s="2"/>
      <c r="G336" s="2"/>
      <c r="H336" s="2"/>
    </row>
    <row r="337" spans="1:8" x14ac:dyDescent="0.3">
      <c r="A337" s="2"/>
      <c r="C337" s="2"/>
      <c r="D337" s="2"/>
      <c r="E337" s="2"/>
      <c r="F337" s="2"/>
      <c r="G337" s="2"/>
      <c r="H337" s="2"/>
    </row>
    <row r="338" spans="1:8" x14ac:dyDescent="0.3">
      <c r="A338" s="2"/>
      <c r="C338" s="2"/>
      <c r="D338" s="2"/>
      <c r="E338" s="2"/>
      <c r="F338" s="2"/>
      <c r="G338" s="2"/>
      <c r="H338" s="2"/>
    </row>
    <row r="339" spans="1:8" x14ac:dyDescent="0.3">
      <c r="A339" s="2"/>
      <c r="C339" s="2"/>
      <c r="D339" s="2"/>
      <c r="E339" s="2"/>
      <c r="F339" s="2"/>
      <c r="G339" s="2"/>
      <c r="H339" s="2"/>
    </row>
    <row r="340" spans="1:8" x14ac:dyDescent="0.3">
      <c r="A340" s="2"/>
      <c r="C340" s="2"/>
      <c r="D340" s="2"/>
      <c r="E340" s="2"/>
      <c r="F340" s="2"/>
      <c r="G340" s="2"/>
      <c r="H340" s="2"/>
    </row>
    <row r="341" spans="1:8" x14ac:dyDescent="0.3">
      <c r="A341" s="2"/>
      <c r="C341" s="2"/>
      <c r="D341" s="2"/>
      <c r="E341" s="2"/>
      <c r="F341" s="2"/>
      <c r="G341" s="2"/>
      <c r="H341" s="2"/>
    </row>
    <row r="342" spans="1:8" x14ac:dyDescent="0.3">
      <c r="A342" s="2"/>
      <c r="C342" s="2"/>
      <c r="D342" s="2"/>
      <c r="E342" s="2"/>
      <c r="F342" s="2"/>
      <c r="G342" s="2"/>
      <c r="H342" s="2"/>
    </row>
    <row r="343" spans="1:8" x14ac:dyDescent="0.3">
      <c r="A343" s="2"/>
      <c r="C343" s="2"/>
      <c r="D343" s="2"/>
      <c r="E343" s="2"/>
      <c r="F343" s="2"/>
      <c r="G343" s="2"/>
      <c r="H343" s="2"/>
    </row>
    <row r="344" spans="1:8" x14ac:dyDescent="0.3">
      <c r="A344" s="2"/>
      <c r="C344" s="2"/>
      <c r="D344" s="2"/>
      <c r="E344" s="2"/>
      <c r="F344" s="2"/>
      <c r="G344" s="2"/>
      <c r="H344" s="2"/>
    </row>
    <row r="345" spans="1:8" x14ac:dyDescent="0.3">
      <c r="A345" s="2"/>
      <c r="C345" s="2"/>
      <c r="D345" s="2"/>
      <c r="E345" s="2"/>
      <c r="F345" s="2"/>
      <c r="G345" s="2"/>
      <c r="H345" s="2"/>
    </row>
    <row r="346" spans="1:8" x14ac:dyDescent="0.3">
      <c r="A346" s="2"/>
      <c r="C346" s="2"/>
      <c r="D346" s="2"/>
      <c r="E346" s="2"/>
      <c r="F346" s="2"/>
      <c r="G346" s="2"/>
      <c r="H346" s="2"/>
    </row>
    <row r="347" spans="1:8" x14ac:dyDescent="0.3">
      <c r="A347" s="2"/>
      <c r="C347" s="2"/>
      <c r="D347" s="2"/>
      <c r="E347" s="2"/>
      <c r="F347" s="2"/>
      <c r="G347" s="2"/>
      <c r="H347" s="2"/>
    </row>
    <row r="348" spans="1:8" x14ac:dyDescent="0.3">
      <c r="A348" s="2"/>
      <c r="C348" s="2"/>
      <c r="D348" s="2"/>
      <c r="E348" s="2"/>
      <c r="F348" s="2"/>
      <c r="G348" s="2"/>
      <c r="H348" s="2"/>
    </row>
    <row r="349" spans="1:8" x14ac:dyDescent="0.3">
      <c r="A349" s="2"/>
      <c r="C349" s="2"/>
      <c r="D349" s="2"/>
      <c r="E349" s="2"/>
      <c r="F349" s="2"/>
      <c r="G349" s="2"/>
      <c r="H349" s="2"/>
    </row>
    <row r="350" spans="1:8" x14ac:dyDescent="0.3">
      <c r="A350" s="2"/>
      <c r="C350" s="2"/>
      <c r="D350" s="2"/>
      <c r="E350" s="2"/>
      <c r="F350" s="2"/>
      <c r="G350" s="2"/>
      <c r="H350" s="2"/>
    </row>
    <row r="351" spans="1:8" x14ac:dyDescent="0.3">
      <c r="A351" s="2"/>
      <c r="C351" s="2"/>
      <c r="D351" s="2"/>
      <c r="E351" s="2"/>
      <c r="F351" s="2"/>
      <c r="G351" s="2"/>
      <c r="H351" s="2"/>
    </row>
    <row r="352" spans="1:8" x14ac:dyDescent="0.3">
      <c r="A352" s="2"/>
      <c r="C352" s="2"/>
      <c r="D352" s="2"/>
      <c r="E352" s="2"/>
      <c r="F352" s="2"/>
      <c r="G352" s="2"/>
      <c r="H352" s="2"/>
    </row>
    <row r="353" spans="1:8" x14ac:dyDescent="0.3">
      <c r="A353" s="2"/>
      <c r="C353" s="2"/>
      <c r="D353" s="2"/>
      <c r="E353" s="2"/>
      <c r="F353" s="2"/>
      <c r="G353" s="2"/>
      <c r="H353" s="2"/>
    </row>
    <row r="354" spans="1:8" x14ac:dyDescent="0.3">
      <c r="A354" s="2"/>
      <c r="C354" s="2"/>
      <c r="D354" s="2"/>
      <c r="E354" s="2"/>
      <c r="F354" s="2"/>
      <c r="G354" s="2"/>
      <c r="H354" s="2"/>
    </row>
    <row r="355" spans="1:8" x14ac:dyDescent="0.3">
      <c r="A355" s="2"/>
      <c r="C355" s="2"/>
      <c r="D355" s="2"/>
      <c r="E355" s="2"/>
      <c r="F355" s="2"/>
      <c r="G355" s="2"/>
      <c r="H355" s="2"/>
    </row>
    <row r="356" spans="1:8" x14ac:dyDescent="0.3">
      <c r="A356" s="2"/>
      <c r="C356" s="2"/>
      <c r="D356" s="2"/>
      <c r="E356" s="2"/>
      <c r="F356" s="2"/>
      <c r="G356" s="2"/>
      <c r="H356" s="2"/>
    </row>
    <row r="357" spans="1:8" x14ac:dyDescent="0.3">
      <c r="A357" s="2"/>
      <c r="C357" s="2"/>
      <c r="D357" s="2"/>
      <c r="E357" s="2"/>
      <c r="F357" s="2"/>
      <c r="G357" s="2"/>
      <c r="H357" s="2"/>
    </row>
    <row r="358" spans="1:8" x14ac:dyDescent="0.3">
      <c r="A358" s="2"/>
      <c r="C358" s="2"/>
      <c r="D358" s="2"/>
      <c r="E358" s="2"/>
      <c r="F358" s="2"/>
      <c r="G358" s="2"/>
      <c r="H358" s="2"/>
    </row>
    <row r="359" spans="1:8" x14ac:dyDescent="0.3">
      <c r="A359" s="2"/>
      <c r="C359" s="2"/>
      <c r="D359" s="2"/>
      <c r="E359" s="2"/>
      <c r="F359" s="2"/>
      <c r="G359" s="2"/>
      <c r="H359" s="2"/>
    </row>
    <row r="360" spans="1:8" x14ac:dyDescent="0.3">
      <c r="A360" s="2"/>
      <c r="C360" s="2"/>
      <c r="D360" s="2"/>
      <c r="E360" s="2"/>
      <c r="F360" s="2"/>
      <c r="G360" s="2"/>
      <c r="H360" s="2"/>
    </row>
    <row r="361" spans="1:8" x14ac:dyDescent="0.3">
      <c r="A361" s="2"/>
      <c r="C361" s="2"/>
      <c r="D361" s="2"/>
      <c r="E361" s="2"/>
      <c r="F361" s="2"/>
      <c r="G361" s="2"/>
      <c r="H361" s="2"/>
    </row>
    <row r="362" spans="1:8" x14ac:dyDescent="0.3">
      <c r="A362" s="2"/>
      <c r="C362" s="2"/>
      <c r="D362" s="2"/>
      <c r="E362" s="2"/>
      <c r="F362" s="2"/>
      <c r="G362" s="2"/>
      <c r="H362" s="2"/>
    </row>
    <row r="363" spans="1:8" x14ac:dyDescent="0.3">
      <c r="A363" s="2"/>
      <c r="C363" s="2"/>
      <c r="D363" s="2"/>
      <c r="E363" s="2"/>
      <c r="F363" s="2"/>
      <c r="G363" s="2"/>
      <c r="H363" s="2"/>
    </row>
    <row r="364" spans="1:8" x14ac:dyDescent="0.3">
      <c r="A364" s="2"/>
      <c r="C364" s="2"/>
      <c r="D364" s="2"/>
      <c r="E364" s="2"/>
      <c r="F364" s="2"/>
      <c r="G364" s="2"/>
      <c r="H364" s="2"/>
    </row>
    <row r="365" spans="1:8" x14ac:dyDescent="0.3">
      <c r="A365" s="2"/>
      <c r="C365" s="2"/>
      <c r="D365" s="2"/>
      <c r="E365" s="2"/>
      <c r="F365" s="2"/>
      <c r="G365" s="2"/>
      <c r="H365" s="2"/>
    </row>
    <row r="366" spans="1:8" x14ac:dyDescent="0.3">
      <c r="A366" s="2"/>
      <c r="C366" s="2"/>
      <c r="D366" s="2"/>
      <c r="E366" s="2"/>
      <c r="F366" s="2"/>
      <c r="G366" s="2"/>
      <c r="H366" s="2"/>
    </row>
    <row r="367" spans="1:8" x14ac:dyDescent="0.3">
      <c r="A367" s="2"/>
      <c r="C367" s="2"/>
      <c r="D367" s="2"/>
      <c r="E367" s="2"/>
      <c r="F367" s="2"/>
      <c r="G367" s="2"/>
      <c r="H367" s="2"/>
    </row>
    <row r="368" spans="1:8" x14ac:dyDescent="0.3">
      <c r="A368" s="2"/>
      <c r="C368" s="2"/>
      <c r="D368" s="2"/>
      <c r="E368" s="2"/>
      <c r="F368" s="2"/>
      <c r="G368" s="2"/>
      <c r="H368" s="2"/>
    </row>
    <row r="369" spans="1:8" x14ac:dyDescent="0.3">
      <c r="A369" s="2"/>
      <c r="C369" s="2"/>
      <c r="D369" s="2"/>
      <c r="E369" s="2"/>
      <c r="F369" s="2"/>
      <c r="G369" s="2"/>
      <c r="H369" s="2"/>
    </row>
    <row r="370" spans="1:8" x14ac:dyDescent="0.3">
      <c r="A370" s="2"/>
      <c r="C370" s="2"/>
      <c r="D370" s="2"/>
      <c r="E370" s="2"/>
      <c r="F370" s="2"/>
      <c r="G370" s="2"/>
      <c r="H370" s="2"/>
    </row>
    <row r="371" spans="1:8" x14ac:dyDescent="0.3">
      <c r="A371" s="2"/>
      <c r="C371" s="2"/>
      <c r="D371" s="2"/>
      <c r="E371" s="2"/>
      <c r="F371" s="2"/>
      <c r="G371" s="2"/>
      <c r="H371" s="2"/>
    </row>
    <row r="372" spans="1:8" x14ac:dyDescent="0.3">
      <c r="A372" s="2"/>
      <c r="C372" s="2"/>
      <c r="D372" s="2"/>
      <c r="E372" s="2"/>
      <c r="F372" s="2"/>
      <c r="G372" s="2"/>
      <c r="H372" s="2"/>
    </row>
    <row r="373" spans="1:8" x14ac:dyDescent="0.3">
      <c r="A373" s="2"/>
      <c r="C373" s="2"/>
      <c r="D373" s="2"/>
      <c r="E373" s="2"/>
      <c r="F373" s="2"/>
      <c r="G373" s="2"/>
      <c r="H373" s="2"/>
    </row>
    <row r="374" spans="1:8" x14ac:dyDescent="0.3">
      <c r="A374" s="2"/>
      <c r="C374" s="2"/>
      <c r="D374" s="2"/>
      <c r="E374" s="2"/>
      <c r="F374" s="2"/>
      <c r="G374" s="2"/>
      <c r="H374" s="2"/>
    </row>
    <row r="375" spans="1:8" x14ac:dyDescent="0.3">
      <c r="A375" s="2"/>
      <c r="C375" s="2"/>
      <c r="D375" s="2"/>
      <c r="E375" s="2"/>
      <c r="F375" s="2"/>
      <c r="G375" s="2"/>
      <c r="H375" s="2"/>
    </row>
    <row r="376" spans="1:8" x14ac:dyDescent="0.3">
      <c r="A376" s="2"/>
      <c r="C376" s="2"/>
      <c r="D376" s="2"/>
      <c r="E376" s="2"/>
      <c r="F376" s="2"/>
      <c r="G376" s="2"/>
      <c r="H376" s="2"/>
    </row>
    <row r="377" spans="1:8" x14ac:dyDescent="0.3">
      <c r="A377" s="2"/>
      <c r="C377" s="2"/>
      <c r="D377" s="2"/>
      <c r="E377" s="2"/>
      <c r="F377" s="2"/>
      <c r="G377" s="2"/>
      <c r="H377" s="2"/>
    </row>
    <row r="378" spans="1:8" x14ac:dyDescent="0.3">
      <c r="A378" s="2"/>
      <c r="C378" s="2"/>
      <c r="D378" s="2"/>
      <c r="E378" s="2"/>
      <c r="F378" s="2"/>
      <c r="G378" s="2"/>
      <c r="H378" s="2"/>
    </row>
    <row r="379" spans="1:8" x14ac:dyDescent="0.3">
      <c r="A379" s="2"/>
      <c r="C379" s="2"/>
      <c r="D379" s="2"/>
      <c r="E379" s="2"/>
      <c r="F379" s="2"/>
      <c r="G379" s="2"/>
      <c r="H379" s="2"/>
    </row>
    <row r="380" spans="1:8" x14ac:dyDescent="0.3">
      <c r="A380" s="2"/>
      <c r="C380" s="2"/>
      <c r="D380" s="2"/>
      <c r="E380" s="2"/>
      <c r="F380" s="2"/>
      <c r="G380" s="2"/>
      <c r="H380" s="2"/>
    </row>
    <row r="381" spans="1:8" x14ac:dyDescent="0.3">
      <c r="A381" s="2"/>
      <c r="C381" s="2"/>
      <c r="D381" s="2"/>
      <c r="E381" s="2"/>
      <c r="F381" s="2"/>
      <c r="G381" s="2"/>
      <c r="H381" s="2"/>
    </row>
    <row r="382" spans="1:8" x14ac:dyDescent="0.3">
      <c r="A382" s="2"/>
      <c r="C382" s="2"/>
      <c r="D382" s="2"/>
      <c r="E382" s="2"/>
      <c r="F382" s="2"/>
      <c r="G382" s="2"/>
      <c r="H382" s="2"/>
    </row>
    <row r="383" spans="1:8" x14ac:dyDescent="0.3">
      <c r="A383" s="2"/>
      <c r="C383" s="2"/>
      <c r="D383" s="2"/>
      <c r="E383" s="2"/>
      <c r="F383" s="2"/>
      <c r="G383" s="2"/>
      <c r="H383" s="2"/>
    </row>
    <row r="384" spans="1:8" x14ac:dyDescent="0.3">
      <c r="A384" s="2"/>
      <c r="C384" s="2"/>
      <c r="D384" s="2"/>
      <c r="E384" s="2"/>
      <c r="F384" s="2"/>
      <c r="G384" s="2"/>
      <c r="H384" s="2"/>
    </row>
    <row r="385" spans="1:8" x14ac:dyDescent="0.3">
      <c r="A385" s="2"/>
      <c r="C385" s="2"/>
      <c r="D385" s="2"/>
      <c r="E385" s="2"/>
      <c r="F385" s="2"/>
      <c r="G385" s="2"/>
      <c r="H385" s="2"/>
    </row>
    <row r="386" spans="1:8" x14ac:dyDescent="0.3">
      <c r="A386" s="2"/>
      <c r="C386" s="2"/>
      <c r="D386" s="2"/>
      <c r="E386" s="2"/>
      <c r="F386" s="2"/>
      <c r="G386" s="2"/>
      <c r="H386" s="2"/>
    </row>
    <row r="387" spans="1:8" x14ac:dyDescent="0.3">
      <c r="A387" s="2"/>
      <c r="C387" s="2"/>
      <c r="D387" s="2"/>
      <c r="E387" s="2"/>
      <c r="F387" s="2"/>
      <c r="G387" s="2"/>
      <c r="H387" s="2"/>
    </row>
    <row r="388" spans="1:8" x14ac:dyDescent="0.3">
      <c r="A388" s="2"/>
      <c r="C388" s="2"/>
      <c r="D388" s="2"/>
      <c r="E388" s="2"/>
      <c r="F388" s="2"/>
      <c r="G388" s="2"/>
      <c r="H388" s="2"/>
    </row>
    <row r="389" spans="1:8" x14ac:dyDescent="0.3">
      <c r="A389" s="2"/>
      <c r="C389" s="2"/>
      <c r="D389" s="2"/>
      <c r="E389" s="2"/>
      <c r="F389" s="2"/>
      <c r="G389" s="2"/>
      <c r="H389" s="2"/>
    </row>
    <row r="390" spans="1:8" x14ac:dyDescent="0.3">
      <c r="A390" s="2"/>
      <c r="C390" s="2"/>
      <c r="D390" s="2"/>
      <c r="E390" s="2"/>
      <c r="F390" s="2"/>
      <c r="G390" s="2"/>
      <c r="H390" s="2"/>
    </row>
    <row r="391" spans="1:8" x14ac:dyDescent="0.3">
      <c r="A391" s="2"/>
      <c r="C391" s="2"/>
      <c r="D391" s="2"/>
      <c r="E391" s="2"/>
      <c r="F391" s="2"/>
      <c r="G391" s="2"/>
      <c r="H391" s="2"/>
    </row>
    <row r="392" spans="1:8" x14ac:dyDescent="0.3">
      <c r="A392" s="2"/>
      <c r="C392" s="2"/>
      <c r="D392" s="2"/>
      <c r="E392" s="2"/>
      <c r="F392" s="2"/>
      <c r="G392" s="2"/>
      <c r="H392" s="2"/>
    </row>
    <row r="393" spans="1:8" x14ac:dyDescent="0.3">
      <c r="A393" s="2"/>
      <c r="C393" s="2"/>
      <c r="D393" s="2"/>
      <c r="E393" s="2"/>
      <c r="F393" s="2"/>
      <c r="G393" s="2"/>
      <c r="H393" s="2"/>
    </row>
    <row r="394" spans="1:8" x14ac:dyDescent="0.3">
      <c r="A394" s="2"/>
      <c r="C394" s="2"/>
      <c r="D394" s="2"/>
      <c r="E394" s="2"/>
      <c r="F394" s="2"/>
      <c r="G394" s="2"/>
      <c r="H394" s="2"/>
    </row>
    <row r="395" spans="1:8" x14ac:dyDescent="0.3">
      <c r="A395" s="2"/>
      <c r="C395" s="2"/>
      <c r="D395" s="2"/>
      <c r="E395" s="2"/>
      <c r="F395" s="2"/>
      <c r="G395" s="2"/>
      <c r="H395" s="2"/>
    </row>
    <row r="396" spans="1:8" x14ac:dyDescent="0.3">
      <c r="A396" s="2"/>
      <c r="C396" s="2"/>
      <c r="D396" s="2"/>
      <c r="E396" s="2"/>
      <c r="F396" s="2"/>
      <c r="G396" s="2"/>
      <c r="H396" s="2"/>
    </row>
    <row r="397" spans="1:8" x14ac:dyDescent="0.3">
      <c r="A397" s="2"/>
      <c r="C397" s="2"/>
      <c r="D397" s="2"/>
      <c r="E397" s="2"/>
      <c r="F397" s="2"/>
      <c r="G397" s="2"/>
      <c r="H397" s="2"/>
    </row>
    <row r="398" spans="1:8" x14ac:dyDescent="0.3">
      <c r="A398" s="2"/>
      <c r="C398" s="2"/>
      <c r="D398" s="2"/>
      <c r="E398" s="2"/>
      <c r="F398" s="2"/>
      <c r="G398" s="2"/>
      <c r="H398" s="2"/>
    </row>
    <row r="399" spans="1:8" x14ac:dyDescent="0.3">
      <c r="A399" s="2"/>
      <c r="C399" s="2"/>
      <c r="D399" s="2"/>
      <c r="E399" s="2"/>
      <c r="F399" s="2"/>
      <c r="G399" s="2"/>
      <c r="H399" s="2"/>
    </row>
    <row r="400" spans="1:8" x14ac:dyDescent="0.3">
      <c r="A400" s="2"/>
      <c r="C400" s="2"/>
      <c r="D400" s="2"/>
      <c r="E400" s="2"/>
      <c r="F400" s="2"/>
      <c r="G400" s="2"/>
      <c r="H400" s="2"/>
    </row>
    <row r="401" spans="1:8" x14ac:dyDescent="0.3">
      <c r="A401" s="2"/>
      <c r="C401" s="2"/>
      <c r="D401" s="2"/>
      <c r="E401" s="2"/>
      <c r="F401" s="2"/>
      <c r="G401" s="2"/>
      <c r="H401" s="2"/>
    </row>
    <row r="402" spans="1:8" x14ac:dyDescent="0.3">
      <c r="A402" s="2"/>
      <c r="C402" s="2"/>
      <c r="D402" s="2"/>
      <c r="E402" s="2"/>
      <c r="F402" s="2"/>
      <c r="G402" s="2"/>
      <c r="H402" s="2"/>
    </row>
    <row r="403" spans="1:8" x14ac:dyDescent="0.3">
      <c r="A403" s="2"/>
      <c r="C403" s="2"/>
      <c r="D403" s="2"/>
      <c r="E403" s="2"/>
      <c r="F403" s="2"/>
      <c r="G403" s="2"/>
      <c r="H403" s="2"/>
    </row>
    <row r="404" spans="1:8" x14ac:dyDescent="0.3">
      <c r="A404" s="2"/>
      <c r="C404" s="2"/>
      <c r="D404" s="2"/>
      <c r="E404" s="2"/>
      <c r="F404" s="2"/>
      <c r="G404" s="2"/>
      <c r="H404" s="2"/>
    </row>
    <row r="405" spans="1:8" x14ac:dyDescent="0.3">
      <c r="A405" s="2"/>
      <c r="C405" s="2"/>
      <c r="D405" s="2"/>
      <c r="E405" s="2"/>
      <c r="F405" s="2"/>
      <c r="G405" s="2"/>
      <c r="H405" s="2"/>
    </row>
    <row r="406" spans="1:8" x14ac:dyDescent="0.3">
      <c r="A406" s="2"/>
      <c r="C406" s="2"/>
      <c r="D406" s="2"/>
      <c r="E406" s="2"/>
      <c r="F406" s="2"/>
      <c r="G406" s="2"/>
      <c r="H406" s="2"/>
    </row>
    <row r="407" spans="1:8" x14ac:dyDescent="0.3">
      <c r="A407" s="2"/>
      <c r="C407" s="2"/>
      <c r="D407" s="2"/>
      <c r="E407" s="2"/>
      <c r="F407" s="2"/>
      <c r="G407" s="2"/>
      <c r="H407" s="2"/>
    </row>
    <row r="408" spans="1:8" x14ac:dyDescent="0.3">
      <c r="A408" s="2"/>
      <c r="C408" s="2"/>
      <c r="D408" s="2"/>
      <c r="E408" s="2"/>
      <c r="F408" s="2"/>
      <c r="G408" s="2"/>
      <c r="H408" s="2"/>
    </row>
    <row r="409" spans="1:8" x14ac:dyDescent="0.3">
      <c r="A409" s="2"/>
      <c r="C409" s="2"/>
      <c r="D409" s="2"/>
      <c r="E409" s="2"/>
      <c r="F409" s="2"/>
      <c r="G409" s="2"/>
      <c r="H409" s="2"/>
    </row>
    <row r="410" spans="1:8" x14ac:dyDescent="0.3">
      <c r="A410" s="2"/>
      <c r="C410" s="2"/>
      <c r="D410" s="2"/>
      <c r="E410" s="2"/>
      <c r="F410" s="2"/>
      <c r="G410" s="2"/>
      <c r="H410" s="2"/>
    </row>
    <row r="411" spans="1:8" x14ac:dyDescent="0.3">
      <c r="A411" s="2"/>
      <c r="C411" s="2"/>
      <c r="D411" s="2"/>
      <c r="E411" s="2"/>
      <c r="F411" s="2"/>
      <c r="G411" s="2"/>
      <c r="H411" s="2"/>
    </row>
    <row r="412" spans="1:8" x14ac:dyDescent="0.3">
      <c r="A412" s="2"/>
      <c r="C412" s="2"/>
      <c r="D412" s="2"/>
      <c r="E412" s="2"/>
      <c r="F412" s="2"/>
      <c r="G412" s="2"/>
      <c r="H412" s="2"/>
    </row>
    <row r="413" spans="1:8" x14ac:dyDescent="0.3">
      <c r="A413" s="2"/>
      <c r="C413" s="2"/>
      <c r="D413" s="2"/>
      <c r="E413" s="2"/>
      <c r="F413" s="2"/>
      <c r="G413" s="2"/>
      <c r="H413" s="2"/>
    </row>
    <row r="414" spans="1:8" x14ac:dyDescent="0.3">
      <c r="A414" s="2"/>
      <c r="C414" s="2"/>
      <c r="D414" s="2"/>
      <c r="E414" s="2"/>
      <c r="F414" s="2"/>
      <c r="G414" s="2"/>
      <c r="H414" s="2"/>
    </row>
    <row r="415" spans="1:8" x14ac:dyDescent="0.3">
      <c r="A415" s="2"/>
      <c r="C415" s="2"/>
      <c r="D415" s="2"/>
      <c r="E415" s="2"/>
      <c r="F415" s="2"/>
      <c r="G415" s="2"/>
      <c r="H415" s="2"/>
    </row>
    <row r="416" spans="1:8" x14ac:dyDescent="0.3">
      <c r="A416" s="2"/>
      <c r="C416" s="2"/>
      <c r="D416" s="2"/>
      <c r="E416" s="2"/>
      <c r="F416" s="2"/>
      <c r="G416" s="2"/>
      <c r="H416" s="2"/>
    </row>
    <row r="417" spans="1:8" x14ac:dyDescent="0.3">
      <c r="A417" s="2"/>
      <c r="C417" s="2"/>
      <c r="D417" s="2"/>
      <c r="E417" s="2"/>
      <c r="F417" s="2"/>
      <c r="G417" s="2"/>
      <c r="H417" s="2"/>
    </row>
    <row r="418" spans="1:8" x14ac:dyDescent="0.3">
      <c r="A418" s="2"/>
      <c r="C418" s="2"/>
      <c r="D418" s="2"/>
      <c r="E418" s="2"/>
      <c r="F418" s="2"/>
      <c r="G418" s="2"/>
      <c r="H418" s="2"/>
    </row>
    <row r="419" spans="1:8" x14ac:dyDescent="0.3">
      <c r="A419" s="2"/>
      <c r="C419" s="2"/>
      <c r="D419" s="2"/>
      <c r="E419" s="2"/>
      <c r="F419" s="2"/>
      <c r="G419" s="2"/>
      <c r="H419" s="2"/>
    </row>
    <row r="420" spans="1:8" x14ac:dyDescent="0.3">
      <c r="A420" s="2"/>
      <c r="C420" s="2"/>
      <c r="D420" s="2"/>
      <c r="E420" s="2"/>
      <c r="F420" s="2"/>
      <c r="G420" s="2"/>
      <c r="H420" s="2"/>
    </row>
    <row r="421" spans="1:8" x14ac:dyDescent="0.3">
      <c r="A421" s="2"/>
      <c r="C421" s="2"/>
      <c r="D421" s="2"/>
      <c r="E421" s="2"/>
      <c r="F421" s="2"/>
      <c r="G421" s="2"/>
      <c r="H421" s="2"/>
    </row>
    <row r="422" spans="1:8" x14ac:dyDescent="0.3">
      <c r="A422" s="2"/>
      <c r="C422" s="2"/>
      <c r="D422" s="2"/>
      <c r="E422" s="2"/>
      <c r="F422" s="2"/>
      <c r="G422" s="2"/>
      <c r="H422" s="2"/>
    </row>
    <row r="423" spans="1:8" x14ac:dyDescent="0.3">
      <c r="A423" s="2"/>
      <c r="C423" s="2"/>
      <c r="D423" s="2"/>
      <c r="E423" s="2"/>
      <c r="F423" s="2"/>
      <c r="G423" s="2"/>
      <c r="H423" s="2"/>
    </row>
    <row r="424" spans="1:8" x14ac:dyDescent="0.3">
      <c r="A424" s="2"/>
      <c r="C424" s="2"/>
      <c r="D424" s="2"/>
      <c r="E424" s="2"/>
      <c r="F424" s="2"/>
      <c r="G424" s="2"/>
      <c r="H424" s="2"/>
    </row>
    <row r="425" spans="1:8" x14ac:dyDescent="0.3">
      <c r="A425" s="2"/>
      <c r="C425" s="2"/>
      <c r="D425" s="2"/>
      <c r="E425" s="2"/>
      <c r="F425" s="2"/>
      <c r="G425" s="2"/>
      <c r="H425" s="2"/>
    </row>
    <row r="426" spans="1:8" x14ac:dyDescent="0.3">
      <c r="A426" s="2"/>
      <c r="C426" s="2"/>
      <c r="D426" s="2"/>
      <c r="E426" s="2"/>
      <c r="F426" s="2"/>
      <c r="G426" s="2"/>
      <c r="H426" s="2"/>
    </row>
    <row r="427" spans="1:8" x14ac:dyDescent="0.3">
      <c r="A427" s="2"/>
      <c r="C427" s="2"/>
      <c r="D427" s="2"/>
      <c r="E427" s="2"/>
      <c r="F427" s="2"/>
      <c r="G427" s="2"/>
      <c r="H427" s="2"/>
    </row>
    <row r="428" spans="1:8" x14ac:dyDescent="0.3">
      <c r="A428" s="2"/>
      <c r="C428" s="2"/>
      <c r="D428" s="2"/>
      <c r="E428" s="2"/>
      <c r="F428" s="2"/>
      <c r="G428" s="2"/>
      <c r="H428" s="2"/>
    </row>
    <row r="429" spans="1:8" x14ac:dyDescent="0.3">
      <c r="A429" s="2"/>
      <c r="C429" s="2"/>
      <c r="D429" s="2"/>
      <c r="E429" s="2"/>
      <c r="F429" s="2"/>
      <c r="G429" s="2"/>
      <c r="H429" s="2"/>
    </row>
    <row r="430" spans="1:8" x14ac:dyDescent="0.3">
      <c r="A430" s="2"/>
      <c r="C430" s="2"/>
      <c r="D430" s="2"/>
      <c r="E430" s="2"/>
      <c r="F430" s="2"/>
      <c r="G430" s="2"/>
      <c r="H430" s="2"/>
    </row>
    <row r="431" spans="1:8" x14ac:dyDescent="0.3">
      <c r="A431" s="2"/>
      <c r="C431" s="2"/>
      <c r="D431" s="2"/>
      <c r="E431" s="2"/>
      <c r="F431" s="2"/>
      <c r="G431" s="2"/>
      <c r="H431" s="2"/>
    </row>
    <row r="432" spans="1:8" x14ac:dyDescent="0.3">
      <c r="A432" s="2"/>
      <c r="C432" s="2"/>
      <c r="D432" s="2"/>
      <c r="E432" s="2"/>
      <c r="F432" s="2"/>
      <c r="G432" s="2"/>
      <c r="H432" s="2"/>
    </row>
    <row r="433" spans="1:8" x14ac:dyDescent="0.3">
      <c r="A433" s="2"/>
      <c r="C433" s="2"/>
      <c r="D433" s="2"/>
      <c r="E433" s="2"/>
      <c r="F433" s="2"/>
      <c r="G433" s="2"/>
      <c r="H433" s="2"/>
    </row>
    <row r="434" spans="1:8" x14ac:dyDescent="0.3">
      <c r="A434" s="2"/>
      <c r="C434" s="2"/>
      <c r="D434" s="2"/>
      <c r="E434" s="2"/>
      <c r="F434" s="2"/>
      <c r="G434" s="2"/>
      <c r="H434" s="2"/>
    </row>
    <row r="435" spans="1:8" x14ac:dyDescent="0.3">
      <c r="A435" s="2"/>
      <c r="C435" s="2"/>
      <c r="D435" s="2"/>
      <c r="E435" s="2"/>
      <c r="F435" s="2"/>
      <c r="G435" s="2"/>
      <c r="H435" s="2"/>
    </row>
    <row r="436" spans="1:8" x14ac:dyDescent="0.3">
      <c r="A436" s="2"/>
      <c r="C436" s="2"/>
      <c r="D436" s="2"/>
      <c r="E436" s="2"/>
      <c r="F436" s="2"/>
      <c r="G436" s="2"/>
      <c r="H436" s="2"/>
    </row>
    <row r="437" spans="1:8" x14ac:dyDescent="0.3">
      <c r="A437" s="2"/>
      <c r="C437" s="2"/>
      <c r="D437" s="2"/>
      <c r="E437" s="2"/>
      <c r="F437" s="2"/>
      <c r="G437" s="2"/>
      <c r="H437" s="2"/>
    </row>
    <row r="438" spans="1:8" x14ac:dyDescent="0.3">
      <c r="A438" s="2"/>
      <c r="C438" s="2"/>
      <c r="D438" s="2"/>
      <c r="E438" s="2"/>
      <c r="F438" s="2"/>
      <c r="G438" s="2"/>
      <c r="H438" s="2"/>
    </row>
    <row r="439" spans="1:8" x14ac:dyDescent="0.3">
      <c r="A439" s="2"/>
      <c r="C439" s="2"/>
      <c r="D439" s="2"/>
      <c r="E439" s="2"/>
      <c r="F439" s="2"/>
      <c r="G439" s="2"/>
      <c r="H439" s="2"/>
    </row>
    <row r="440" spans="1:8" x14ac:dyDescent="0.3">
      <c r="A440" s="2"/>
      <c r="C440" s="2"/>
      <c r="D440" s="2"/>
      <c r="E440" s="2"/>
      <c r="F440" s="2"/>
      <c r="G440" s="2"/>
      <c r="H440" s="2"/>
    </row>
    <row r="441" spans="1:8" x14ac:dyDescent="0.3">
      <c r="A441" s="2"/>
      <c r="C441" s="2"/>
      <c r="D441" s="2"/>
      <c r="E441" s="2"/>
      <c r="F441" s="2"/>
      <c r="G441" s="2"/>
      <c r="H441" s="2"/>
    </row>
    <row r="442" spans="1:8" x14ac:dyDescent="0.3">
      <c r="A442" s="2"/>
      <c r="C442" s="2"/>
      <c r="D442" s="2"/>
      <c r="E442" s="2"/>
      <c r="F442" s="2"/>
      <c r="G442" s="2"/>
      <c r="H442" s="2"/>
    </row>
    <row r="443" spans="1:8" x14ac:dyDescent="0.3">
      <c r="A443" s="2"/>
      <c r="C443" s="2"/>
      <c r="D443" s="2"/>
      <c r="E443" s="2"/>
      <c r="F443" s="2"/>
      <c r="G443" s="2"/>
      <c r="H443" s="2"/>
    </row>
    <row r="444" spans="1:8" x14ac:dyDescent="0.3">
      <c r="A444" s="2"/>
      <c r="C444" s="2"/>
      <c r="D444" s="2"/>
      <c r="E444" s="2"/>
      <c r="F444" s="2"/>
      <c r="G444" s="2"/>
      <c r="H444" s="2"/>
    </row>
    <row r="445" spans="1:8" x14ac:dyDescent="0.3">
      <c r="A445" s="2"/>
      <c r="C445" s="2"/>
      <c r="D445" s="2"/>
      <c r="E445" s="2"/>
      <c r="F445" s="2"/>
      <c r="G445" s="2"/>
      <c r="H445" s="2"/>
    </row>
    <row r="446" spans="1:8" x14ac:dyDescent="0.3">
      <c r="A446" s="2"/>
      <c r="C446" s="2"/>
      <c r="D446" s="2"/>
      <c r="E446" s="2"/>
      <c r="F446" s="2"/>
      <c r="G446" s="2"/>
      <c r="H446" s="2"/>
    </row>
    <row r="447" spans="1:8" x14ac:dyDescent="0.3">
      <c r="A447" s="2"/>
      <c r="C447" s="2"/>
      <c r="D447" s="2"/>
      <c r="E447" s="2"/>
      <c r="F447" s="2"/>
      <c r="G447" s="2"/>
      <c r="H447" s="2"/>
    </row>
    <row r="448" spans="1:8" x14ac:dyDescent="0.3">
      <c r="A448" s="2"/>
      <c r="C448" s="2"/>
      <c r="D448" s="2"/>
      <c r="E448" s="2"/>
      <c r="F448" s="2"/>
      <c r="G448" s="2"/>
      <c r="H448" s="2"/>
    </row>
    <row r="449" spans="1:8" x14ac:dyDescent="0.3">
      <c r="A449" s="2"/>
      <c r="C449" s="2"/>
      <c r="D449" s="2"/>
      <c r="E449" s="2"/>
      <c r="F449" s="2"/>
      <c r="G449" s="2"/>
      <c r="H449" s="2"/>
    </row>
    <row r="450" spans="1:8" x14ac:dyDescent="0.3">
      <c r="A450" s="2"/>
      <c r="C450" s="2"/>
      <c r="D450" s="2"/>
      <c r="E450" s="2"/>
      <c r="F450" s="2"/>
      <c r="G450" s="2"/>
      <c r="H450" s="2"/>
    </row>
    <row r="451" spans="1:8" x14ac:dyDescent="0.3">
      <c r="A451" s="2"/>
      <c r="C451" s="2"/>
      <c r="D451" s="2"/>
      <c r="E451" s="2"/>
      <c r="F451" s="2"/>
      <c r="G451" s="2"/>
      <c r="H451" s="2"/>
    </row>
    <row r="452" spans="1:8" x14ac:dyDescent="0.3">
      <c r="A452" s="2"/>
      <c r="C452" s="2"/>
      <c r="D452" s="2"/>
      <c r="E452" s="2"/>
      <c r="F452" s="2"/>
      <c r="G452" s="2"/>
      <c r="H452" s="2"/>
    </row>
    <row r="453" spans="1:8" x14ac:dyDescent="0.3">
      <c r="A453" s="2"/>
      <c r="C453" s="2"/>
      <c r="D453" s="2"/>
      <c r="E453" s="2"/>
      <c r="F453" s="2"/>
      <c r="G453" s="2"/>
      <c r="H453" s="2"/>
    </row>
    <row r="454" spans="1:8" x14ac:dyDescent="0.3">
      <c r="A454" s="2"/>
      <c r="C454" s="2"/>
      <c r="D454" s="2"/>
      <c r="E454" s="2"/>
      <c r="F454" s="2"/>
      <c r="G454" s="2"/>
      <c r="H454" s="2"/>
    </row>
    <row r="455" spans="1:8" x14ac:dyDescent="0.3">
      <c r="A455" s="2"/>
      <c r="C455" s="2"/>
      <c r="D455" s="2"/>
      <c r="E455" s="2"/>
      <c r="F455" s="2"/>
      <c r="G455" s="2"/>
      <c r="H455" s="2"/>
    </row>
    <row r="456" spans="1:8" x14ac:dyDescent="0.3">
      <c r="A456" s="2"/>
      <c r="C456" s="2"/>
      <c r="D456" s="2"/>
      <c r="E456" s="2"/>
      <c r="F456" s="2"/>
      <c r="G456" s="2"/>
      <c r="H456" s="2"/>
    </row>
    <row r="457" spans="1:8" x14ac:dyDescent="0.3">
      <c r="A457" s="2"/>
      <c r="C457" s="2"/>
      <c r="D457" s="2"/>
      <c r="E457" s="2"/>
      <c r="F457" s="2"/>
      <c r="G457" s="2"/>
      <c r="H457" s="2"/>
    </row>
    <row r="458" spans="1:8" x14ac:dyDescent="0.3">
      <c r="A458" s="2"/>
      <c r="C458" s="2"/>
      <c r="D458" s="2"/>
      <c r="E458" s="2"/>
      <c r="F458" s="2"/>
      <c r="G458" s="2"/>
      <c r="H458" s="2"/>
    </row>
    <row r="459" spans="1:8" x14ac:dyDescent="0.3">
      <c r="A459" s="2"/>
      <c r="C459" s="2"/>
      <c r="D459" s="2"/>
      <c r="E459" s="2"/>
      <c r="F459" s="2"/>
      <c r="G459" s="2"/>
      <c r="H459" s="2"/>
    </row>
    <row r="460" spans="1:8" x14ac:dyDescent="0.3">
      <c r="A460" s="2"/>
      <c r="C460" s="2"/>
      <c r="D460" s="2"/>
      <c r="E460" s="2"/>
      <c r="F460" s="2"/>
      <c r="G460" s="2"/>
      <c r="H460" s="2"/>
    </row>
    <row r="461" spans="1:8" x14ac:dyDescent="0.3">
      <c r="A461" s="2"/>
      <c r="C461" s="2"/>
      <c r="D461" s="2"/>
      <c r="E461" s="2"/>
      <c r="F461" s="2"/>
      <c r="G461" s="2"/>
      <c r="H461" s="2"/>
    </row>
    <row r="462" spans="1:8" x14ac:dyDescent="0.3">
      <c r="A462" s="2"/>
      <c r="C462" s="2"/>
      <c r="D462" s="2"/>
      <c r="E462" s="2"/>
      <c r="F462" s="2"/>
      <c r="G462" s="2"/>
      <c r="H462" s="2"/>
    </row>
    <row r="463" spans="1:8" x14ac:dyDescent="0.3">
      <c r="A463" s="2"/>
      <c r="C463" s="2"/>
      <c r="D463" s="2"/>
      <c r="E463" s="2"/>
      <c r="F463" s="2"/>
      <c r="G463" s="2"/>
      <c r="H463" s="2"/>
    </row>
    <row r="464" spans="1:8" x14ac:dyDescent="0.3">
      <c r="A464" s="2"/>
      <c r="C464" s="2"/>
      <c r="D464" s="2"/>
      <c r="E464" s="2"/>
      <c r="F464" s="2"/>
      <c r="G464" s="2"/>
      <c r="H464" s="2"/>
    </row>
    <row r="465" spans="1:8" x14ac:dyDescent="0.3">
      <c r="A465" s="2"/>
      <c r="C465" s="2"/>
      <c r="D465" s="2"/>
      <c r="E465" s="2"/>
      <c r="F465" s="2"/>
      <c r="G465" s="2"/>
      <c r="H465" s="2"/>
    </row>
    <row r="466" spans="1:8" x14ac:dyDescent="0.3">
      <c r="A466" s="2"/>
      <c r="C466" s="2"/>
      <c r="D466" s="2"/>
      <c r="E466" s="2"/>
      <c r="F466" s="2"/>
      <c r="G466" s="2"/>
      <c r="H466" s="2"/>
    </row>
    <row r="467" spans="1:8" x14ac:dyDescent="0.3">
      <c r="A467" s="2"/>
      <c r="C467" s="2"/>
      <c r="D467" s="2"/>
      <c r="E467" s="2"/>
      <c r="F467" s="2"/>
      <c r="G467" s="2"/>
      <c r="H467" s="2"/>
    </row>
    <row r="468" spans="1:8" x14ac:dyDescent="0.3">
      <c r="A468" s="2"/>
      <c r="C468" s="2"/>
      <c r="D468" s="2"/>
      <c r="E468" s="2"/>
      <c r="F468" s="2"/>
      <c r="G468" s="2"/>
      <c r="H468" s="2"/>
    </row>
    <row r="469" spans="1:8" x14ac:dyDescent="0.3">
      <c r="A469" s="2"/>
      <c r="C469" s="2"/>
      <c r="D469" s="2"/>
      <c r="E469" s="2"/>
      <c r="F469" s="2"/>
      <c r="G469" s="2"/>
      <c r="H469" s="2"/>
    </row>
    <row r="470" spans="1:8" x14ac:dyDescent="0.3">
      <c r="A470" s="2"/>
      <c r="C470" s="2"/>
      <c r="D470" s="2"/>
      <c r="E470" s="2"/>
      <c r="F470" s="2"/>
      <c r="G470" s="2"/>
      <c r="H470" s="2"/>
    </row>
    <row r="471" spans="1:8" x14ac:dyDescent="0.3">
      <c r="A471" s="2"/>
      <c r="C471" s="2"/>
      <c r="D471" s="2"/>
      <c r="E471" s="2"/>
      <c r="F471" s="2"/>
      <c r="G471" s="2"/>
      <c r="H471" s="2"/>
    </row>
    <row r="472" spans="1:8" x14ac:dyDescent="0.3">
      <c r="A472" s="2"/>
      <c r="C472" s="2"/>
      <c r="D472" s="2"/>
      <c r="E472" s="2"/>
      <c r="F472" s="2"/>
      <c r="G472" s="2"/>
      <c r="H472" s="2"/>
    </row>
    <row r="473" spans="1:8" x14ac:dyDescent="0.3">
      <c r="A473" s="2"/>
      <c r="C473" s="2"/>
      <c r="D473" s="2"/>
      <c r="E473" s="2"/>
      <c r="F473" s="2"/>
      <c r="G473" s="2"/>
      <c r="H473" s="2"/>
    </row>
    <row r="474" spans="1:8" x14ac:dyDescent="0.3">
      <c r="A474" s="2"/>
      <c r="C474" s="2"/>
      <c r="D474" s="2"/>
      <c r="E474" s="2"/>
      <c r="F474" s="2"/>
      <c r="G474" s="2"/>
      <c r="H474" s="2"/>
    </row>
    <row r="475" spans="1:8" x14ac:dyDescent="0.3">
      <c r="A475" s="2"/>
      <c r="C475" s="2"/>
      <c r="D475" s="2"/>
      <c r="E475" s="2"/>
      <c r="F475" s="2"/>
      <c r="G475" s="2"/>
      <c r="H475" s="2"/>
    </row>
    <row r="476" spans="1:8" x14ac:dyDescent="0.3">
      <c r="A476" s="2"/>
      <c r="C476" s="2"/>
      <c r="D476" s="2"/>
      <c r="E476" s="2"/>
      <c r="F476" s="2"/>
      <c r="G476" s="2"/>
      <c r="H476" s="2"/>
    </row>
    <row r="477" spans="1:8" x14ac:dyDescent="0.3">
      <c r="A477" s="2"/>
      <c r="C477" s="2"/>
      <c r="D477" s="2"/>
      <c r="E477" s="2"/>
      <c r="F477" s="2"/>
      <c r="G477" s="2"/>
      <c r="H477" s="2"/>
    </row>
    <row r="478" spans="1:8" x14ac:dyDescent="0.3">
      <c r="A478" s="2"/>
      <c r="C478" s="2"/>
      <c r="D478" s="2"/>
      <c r="E478" s="2"/>
      <c r="F478" s="2"/>
      <c r="G478" s="2"/>
      <c r="H478" s="2"/>
    </row>
    <row r="479" spans="1:8" x14ac:dyDescent="0.3">
      <c r="A479" s="2"/>
      <c r="C479" s="2"/>
      <c r="D479" s="2"/>
      <c r="E479" s="2"/>
      <c r="F479" s="2"/>
      <c r="G479" s="2"/>
      <c r="H479" s="2"/>
    </row>
    <row r="480" spans="1:8" x14ac:dyDescent="0.3">
      <c r="A480" s="2"/>
      <c r="C480" s="2"/>
      <c r="D480" s="2"/>
      <c r="E480" s="2"/>
      <c r="F480" s="2"/>
      <c r="G480" s="2"/>
      <c r="H480" s="2"/>
    </row>
    <row r="481" spans="1:8" x14ac:dyDescent="0.3">
      <c r="A481" s="2"/>
      <c r="C481" s="2"/>
      <c r="D481" s="2"/>
      <c r="E481" s="2"/>
      <c r="F481" s="2"/>
      <c r="G481" s="2"/>
      <c r="H481" s="2"/>
    </row>
    <row r="482" spans="1:8" x14ac:dyDescent="0.3">
      <c r="A482" s="2"/>
      <c r="C482" s="2"/>
      <c r="D482" s="2"/>
      <c r="E482" s="2"/>
      <c r="F482" s="2"/>
      <c r="G482" s="2"/>
      <c r="H482" s="2"/>
    </row>
    <row r="483" spans="1:8" x14ac:dyDescent="0.3">
      <c r="A483" s="2"/>
      <c r="C483" s="2"/>
      <c r="D483" s="2"/>
      <c r="E483" s="2"/>
      <c r="F483" s="2"/>
      <c r="G483" s="2"/>
      <c r="H483" s="2"/>
    </row>
    <row r="484" spans="1:8" x14ac:dyDescent="0.3">
      <c r="A484" s="2"/>
      <c r="C484" s="2"/>
      <c r="D484" s="2"/>
      <c r="E484" s="2"/>
      <c r="F484" s="2"/>
      <c r="G484" s="2"/>
      <c r="H484" s="2"/>
    </row>
    <row r="485" spans="1:8" x14ac:dyDescent="0.3">
      <c r="A485" s="2"/>
      <c r="C485" s="2"/>
      <c r="D485" s="2"/>
      <c r="E485" s="2"/>
      <c r="F485" s="2"/>
      <c r="G485" s="2"/>
      <c r="H485" s="2"/>
    </row>
    <row r="486" spans="1:8" x14ac:dyDescent="0.3">
      <c r="A486" s="2"/>
      <c r="C486" s="2"/>
      <c r="D486" s="2"/>
      <c r="E486" s="2"/>
      <c r="F486" s="2"/>
      <c r="G486" s="2"/>
      <c r="H486" s="2"/>
    </row>
    <row r="487" spans="1:8" x14ac:dyDescent="0.3">
      <c r="A487" s="2"/>
      <c r="C487" s="2"/>
      <c r="D487" s="2"/>
      <c r="E487" s="2"/>
      <c r="F487" s="2"/>
      <c r="G487" s="2"/>
      <c r="H487" s="2"/>
    </row>
    <row r="488" spans="1:8" x14ac:dyDescent="0.3">
      <c r="A488" s="2"/>
      <c r="C488" s="2"/>
      <c r="D488" s="2"/>
      <c r="E488" s="2"/>
      <c r="F488" s="2"/>
      <c r="G488" s="2"/>
      <c r="H488" s="2"/>
    </row>
    <row r="489" spans="1:8" x14ac:dyDescent="0.3">
      <c r="A489" s="2"/>
      <c r="C489" s="2"/>
      <c r="D489" s="2"/>
      <c r="E489" s="2"/>
      <c r="F489" s="2"/>
      <c r="G489" s="2"/>
      <c r="H489" s="2"/>
    </row>
    <row r="490" spans="1:8" x14ac:dyDescent="0.3">
      <c r="A490" s="2"/>
      <c r="C490" s="2"/>
      <c r="D490" s="2"/>
      <c r="E490" s="2"/>
      <c r="F490" s="2"/>
      <c r="G490" s="2"/>
      <c r="H490" s="2"/>
    </row>
    <row r="491" spans="1:8" x14ac:dyDescent="0.3">
      <c r="A491" s="2"/>
      <c r="C491" s="2"/>
      <c r="D491" s="2"/>
      <c r="E491" s="2"/>
      <c r="F491" s="2"/>
      <c r="G491" s="2"/>
      <c r="H491" s="2"/>
    </row>
    <row r="492" spans="1:8" x14ac:dyDescent="0.3">
      <c r="A492" s="2"/>
      <c r="C492" s="2"/>
      <c r="D492" s="2"/>
      <c r="E492" s="2"/>
      <c r="F492" s="2"/>
      <c r="G492" s="2"/>
      <c r="H492" s="2"/>
    </row>
    <row r="493" spans="1:8" x14ac:dyDescent="0.3">
      <c r="A493" s="2"/>
      <c r="C493" s="2"/>
      <c r="D493" s="2"/>
      <c r="E493" s="2"/>
      <c r="F493" s="2"/>
      <c r="G493" s="2"/>
      <c r="H493" s="2"/>
    </row>
    <row r="494" spans="1:8" x14ac:dyDescent="0.3">
      <c r="A494" s="2"/>
      <c r="C494" s="2"/>
      <c r="D494" s="2"/>
      <c r="E494" s="2"/>
      <c r="F494" s="2"/>
      <c r="G494" s="2"/>
      <c r="H494" s="2"/>
    </row>
    <row r="495" spans="1:8" x14ac:dyDescent="0.3">
      <c r="A495" s="2"/>
      <c r="C495" s="2"/>
      <c r="D495" s="2"/>
      <c r="E495" s="2"/>
      <c r="F495" s="2"/>
      <c r="G495" s="2"/>
      <c r="H495" s="2"/>
    </row>
    <row r="496" spans="1:8" x14ac:dyDescent="0.3">
      <c r="A496" s="2"/>
      <c r="C496" s="2"/>
      <c r="D496" s="2"/>
      <c r="E496" s="2"/>
      <c r="F496" s="2"/>
      <c r="G496" s="2"/>
      <c r="H496" s="2"/>
    </row>
    <row r="497" spans="1:8" x14ac:dyDescent="0.3">
      <c r="A497" s="2"/>
      <c r="C497" s="2"/>
      <c r="D497" s="2"/>
      <c r="E497" s="2"/>
      <c r="F497" s="2"/>
      <c r="G497" s="2"/>
      <c r="H497" s="2"/>
    </row>
    <row r="498" spans="1:8" x14ac:dyDescent="0.3">
      <c r="A498" s="2"/>
      <c r="C498" s="2"/>
      <c r="D498" s="2"/>
      <c r="E498" s="2"/>
      <c r="F498" s="2"/>
      <c r="G498" s="2"/>
      <c r="H498" s="2"/>
    </row>
    <row r="499" spans="1:8" x14ac:dyDescent="0.3">
      <c r="A499" s="2"/>
      <c r="C499" s="2"/>
      <c r="D499" s="2"/>
      <c r="E499" s="2"/>
      <c r="F499" s="2"/>
      <c r="G499" s="2"/>
      <c r="H499" s="2"/>
    </row>
    <row r="500" spans="1:8" x14ac:dyDescent="0.3">
      <c r="A500" s="2"/>
      <c r="C500" s="2"/>
      <c r="D500" s="2"/>
      <c r="E500" s="2"/>
      <c r="F500" s="2"/>
      <c r="G500" s="2"/>
      <c r="H500" s="2"/>
    </row>
    <row r="501" spans="1:8" x14ac:dyDescent="0.3">
      <c r="A501" s="2"/>
      <c r="C501" s="2"/>
      <c r="D501" s="2"/>
      <c r="E501" s="2"/>
      <c r="F501" s="2"/>
      <c r="G501" s="2"/>
      <c r="H501" s="2"/>
    </row>
    <row r="502" spans="1:8" x14ac:dyDescent="0.3">
      <c r="D502" s="3"/>
      <c r="E502" s="3"/>
    </row>
  </sheetData>
  <sortState ref="A2:H502">
    <sortCondition ref="B2:B5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topLeftCell="A19" workbookViewId="0">
      <selection activeCell="B26" sqref="B26"/>
    </sheetView>
  </sheetViews>
  <sheetFormatPr defaultRowHeight="14.4" x14ac:dyDescent="0.3"/>
  <cols>
    <col min="1" max="1" width="12.5546875" customWidth="1"/>
    <col min="2" max="2" width="19.21875" bestFit="1" customWidth="1"/>
  </cols>
  <sheetData>
    <row r="1" spans="1:2" ht="15" thickBot="1" x14ac:dyDescent="0.35">
      <c r="A1" s="7" t="s">
        <v>290</v>
      </c>
      <c r="B1" s="8"/>
    </row>
    <row r="3" spans="1:2" x14ac:dyDescent="0.3">
      <c r="A3" s="4" t="s">
        <v>275</v>
      </c>
      <c r="B3" t="s">
        <v>277</v>
      </c>
    </row>
    <row r="4" spans="1:2" x14ac:dyDescent="0.3">
      <c r="A4" s="5" t="s">
        <v>11</v>
      </c>
      <c r="B4" s="6">
        <v>139020.99</v>
      </c>
    </row>
    <row r="5" spans="1:2" x14ac:dyDescent="0.3">
      <c r="A5" s="5" t="s">
        <v>19</v>
      </c>
      <c r="B5" s="6">
        <v>154381.13000000003</v>
      </c>
    </row>
    <row r="6" spans="1:2" x14ac:dyDescent="0.3">
      <c r="A6" s="5" t="s">
        <v>8</v>
      </c>
      <c r="B6" s="6">
        <v>125298.75</v>
      </c>
    </row>
    <row r="7" spans="1:2" x14ac:dyDescent="0.3">
      <c r="A7" s="5" t="s">
        <v>16</v>
      </c>
      <c r="B7" s="6">
        <v>131114.62</v>
      </c>
    </row>
    <row r="8" spans="1:2" x14ac:dyDescent="0.3">
      <c r="A8" s="5" t="s">
        <v>22</v>
      </c>
      <c r="B8" s="6">
        <v>120117.45</v>
      </c>
    </row>
    <row r="9" spans="1:2" x14ac:dyDescent="0.3">
      <c r="A9" s="5" t="s">
        <v>276</v>
      </c>
      <c r="B9" s="6">
        <v>669932.93999999994</v>
      </c>
    </row>
    <row r="11" spans="1:2" ht="15" thickBot="1" x14ac:dyDescent="0.35"/>
    <row r="12" spans="1:2" ht="15" thickBot="1" x14ac:dyDescent="0.35">
      <c r="A12" s="7" t="s">
        <v>291</v>
      </c>
      <c r="B12" s="9"/>
    </row>
    <row r="14" spans="1:2" x14ac:dyDescent="0.3">
      <c r="A14" s="4" t="s">
        <v>275</v>
      </c>
      <c r="B14" t="s">
        <v>277</v>
      </c>
    </row>
    <row r="15" spans="1:2" x14ac:dyDescent="0.3">
      <c r="A15" s="5" t="s">
        <v>10</v>
      </c>
      <c r="B15" s="6">
        <v>166996.67000000001</v>
      </c>
    </row>
    <row r="16" spans="1:2" x14ac:dyDescent="0.3">
      <c r="A16" s="5" t="s">
        <v>9</v>
      </c>
      <c r="B16" s="6">
        <v>93934.290000000008</v>
      </c>
    </row>
    <row r="17" spans="1:2" x14ac:dyDescent="0.3">
      <c r="A17" s="5" t="s">
        <v>12</v>
      </c>
      <c r="B17" s="6">
        <v>140849.71000000002</v>
      </c>
    </row>
    <row r="18" spans="1:2" x14ac:dyDescent="0.3">
      <c r="A18" s="5" t="s">
        <v>17</v>
      </c>
      <c r="B18" s="6">
        <v>124261.88999999994</v>
      </c>
    </row>
    <row r="19" spans="1:2" x14ac:dyDescent="0.3">
      <c r="A19" s="5" t="s">
        <v>14</v>
      </c>
      <c r="B19" s="6">
        <v>143890.38000000003</v>
      </c>
    </row>
    <row r="20" spans="1:2" x14ac:dyDescent="0.3">
      <c r="A20" s="5" t="s">
        <v>276</v>
      </c>
      <c r="B20" s="6">
        <v>669932.93999999994</v>
      </c>
    </row>
    <row r="22" spans="1:2" ht="15" thickBot="1" x14ac:dyDescent="0.35"/>
    <row r="23" spans="1:2" ht="15" thickBot="1" x14ac:dyDescent="0.35">
      <c r="A23" s="7" t="s">
        <v>292</v>
      </c>
      <c r="B23" s="8"/>
    </row>
    <row r="25" spans="1:2" x14ac:dyDescent="0.3">
      <c r="A25" s="4" t="s">
        <v>275</v>
      </c>
      <c r="B25" t="s">
        <v>277</v>
      </c>
    </row>
    <row r="26" spans="1:2" x14ac:dyDescent="0.3">
      <c r="A26" s="10" t="s">
        <v>284</v>
      </c>
      <c r="B26" s="6">
        <v>95781.87</v>
      </c>
    </row>
    <row r="27" spans="1:2" x14ac:dyDescent="0.3">
      <c r="A27" s="10" t="s">
        <v>280</v>
      </c>
      <c r="B27" s="6">
        <v>67386.87</v>
      </c>
    </row>
    <row r="28" spans="1:2" x14ac:dyDescent="0.3">
      <c r="A28" s="10" t="s">
        <v>286</v>
      </c>
      <c r="B28" s="6">
        <v>66917.88</v>
      </c>
    </row>
    <row r="29" spans="1:2" x14ac:dyDescent="0.3">
      <c r="A29" s="10" t="s">
        <v>285</v>
      </c>
      <c r="B29" s="6">
        <v>64764.27</v>
      </c>
    </row>
    <row r="30" spans="1:2" x14ac:dyDescent="0.3">
      <c r="A30" s="10" t="s">
        <v>279</v>
      </c>
      <c r="B30" s="6">
        <v>60236.619999999995</v>
      </c>
    </row>
    <row r="31" spans="1:2" x14ac:dyDescent="0.3">
      <c r="A31" s="10" t="s">
        <v>288</v>
      </c>
      <c r="B31" s="6">
        <v>53666.640000000007</v>
      </c>
    </row>
    <row r="32" spans="1:2" x14ac:dyDescent="0.3">
      <c r="A32" s="10" t="s">
        <v>283</v>
      </c>
      <c r="B32" s="6">
        <v>50673.079999999994</v>
      </c>
    </row>
    <row r="33" spans="1:2" x14ac:dyDescent="0.3">
      <c r="A33" s="10" t="s">
        <v>287</v>
      </c>
      <c r="B33" s="6">
        <v>49338.970000000008</v>
      </c>
    </row>
    <row r="34" spans="1:2" x14ac:dyDescent="0.3">
      <c r="A34" s="10" t="s">
        <v>281</v>
      </c>
      <c r="B34" s="6">
        <v>47390.539999999994</v>
      </c>
    </row>
    <row r="35" spans="1:2" x14ac:dyDescent="0.3">
      <c r="A35" s="10" t="s">
        <v>282</v>
      </c>
      <c r="B35" s="6">
        <v>40198.410000000003</v>
      </c>
    </row>
    <row r="36" spans="1:2" x14ac:dyDescent="0.3">
      <c r="A36" s="10" t="s">
        <v>278</v>
      </c>
      <c r="B36" s="6">
        <v>40065.710000000006</v>
      </c>
    </row>
    <row r="37" spans="1:2" x14ac:dyDescent="0.3">
      <c r="A37" s="10" t="s">
        <v>289</v>
      </c>
      <c r="B37" s="6">
        <v>33512.080000000002</v>
      </c>
    </row>
    <row r="38" spans="1:2" x14ac:dyDescent="0.3">
      <c r="A38" s="10" t="s">
        <v>276</v>
      </c>
      <c r="B38" s="6">
        <v>669932.93999999994</v>
      </c>
    </row>
  </sheetData>
  <mergeCells count="3">
    <mergeCell ref="A1:B1"/>
    <mergeCell ref="A12:B12"/>
    <mergeCell ref="A23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2026-06-11T08:26:30Z</dcterms:created>
  <dcterms:modified xsi:type="dcterms:W3CDTF">2026-06-11T10:28:09Z</dcterms:modified>
</cp:coreProperties>
</file>